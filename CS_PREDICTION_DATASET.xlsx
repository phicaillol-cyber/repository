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aillol\Downloads\"/>
    </mc:Choice>
  </mc:AlternateContent>
  <xr:revisionPtr revIDLastSave="0" documentId="8_{C9CB45B4-1ECC-4F0A-8D0E-D7A83A18E60E}" xr6:coauthVersionLast="47" xr6:coauthVersionMax="47" xr10:uidLastSave="{00000000-0000-0000-0000-000000000000}"/>
  <bookViews>
    <workbookView xWindow="-28920" yWindow="-4755" windowWidth="29040" windowHeight="16440" xr2:uid="{AA2C2143-92E7-43FA-9693-79D55DDC1399}"/>
  </bookViews>
  <sheets>
    <sheet name="CS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I3" i="1" s="1"/>
  <c r="K3" i="1" s="1"/>
  <c r="O3" i="1" s="1"/>
  <c r="I5" i="1"/>
  <c r="I6" i="1"/>
  <c r="I7" i="1"/>
  <c r="I8" i="1"/>
  <c r="I9" i="1"/>
  <c r="I10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2" i="1"/>
  <c r="K2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T7" i="1"/>
  <c r="T5" i="1"/>
  <c r="T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2" i="1"/>
  <c r="G3" i="1"/>
  <c r="J3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J340" i="1" s="1"/>
  <c r="G341" i="1"/>
  <c r="J341" i="1" s="1"/>
  <c r="G342" i="1"/>
  <c r="J342" i="1" s="1"/>
  <c r="G343" i="1"/>
  <c r="J343" i="1" s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J371" i="1" s="1"/>
  <c r="G372" i="1"/>
  <c r="J372" i="1" s="1"/>
  <c r="G373" i="1"/>
  <c r="J373" i="1" s="1"/>
  <c r="G374" i="1"/>
  <c r="J374" i="1" s="1"/>
  <c r="G375" i="1"/>
  <c r="J375" i="1" s="1"/>
  <c r="G376" i="1"/>
  <c r="J376" i="1" s="1"/>
  <c r="G377" i="1"/>
  <c r="J377" i="1" s="1"/>
  <c r="G378" i="1"/>
  <c r="J378" i="1" s="1"/>
  <c r="G379" i="1"/>
  <c r="J379" i="1" s="1"/>
  <c r="G380" i="1"/>
  <c r="J380" i="1" s="1"/>
  <c r="G381" i="1"/>
  <c r="J381" i="1" s="1"/>
  <c r="G382" i="1"/>
  <c r="J382" i="1" s="1"/>
  <c r="G383" i="1"/>
  <c r="J383" i="1" s="1"/>
  <c r="G384" i="1"/>
  <c r="J384" i="1" s="1"/>
  <c r="G385" i="1"/>
  <c r="J385" i="1" s="1"/>
  <c r="G386" i="1"/>
  <c r="J386" i="1" s="1"/>
  <c r="G387" i="1"/>
  <c r="J387" i="1" s="1"/>
  <c r="G388" i="1"/>
  <c r="J388" i="1" s="1"/>
  <c r="G389" i="1"/>
  <c r="J389" i="1" s="1"/>
  <c r="G390" i="1"/>
  <c r="J390" i="1" s="1"/>
  <c r="G391" i="1"/>
  <c r="J391" i="1" s="1"/>
  <c r="G392" i="1"/>
  <c r="J392" i="1" s="1"/>
  <c r="G393" i="1"/>
  <c r="J393" i="1" s="1"/>
  <c r="G394" i="1"/>
  <c r="J394" i="1" s="1"/>
  <c r="G395" i="1"/>
  <c r="J395" i="1" s="1"/>
  <c r="G396" i="1"/>
  <c r="J396" i="1" s="1"/>
  <c r="G397" i="1"/>
  <c r="J397" i="1" s="1"/>
  <c r="G398" i="1"/>
  <c r="J398" i="1" s="1"/>
  <c r="G399" i="1"/>
  <c r="J399" i="1" s="1"/>
  <c r="G400" i="1"/>
  <c r="J400" i="1" s="1"/>
  <c r="G401" i="1"/>
  <c r="J401" i="1" s="1"/>
  <c r="G402" i="1"/>
  <c r="J402" i="1" s="1"/>
  <c r="G403" i="1"/>
  <c r="J403" i="1" s="1"/>
  <c r="G404" i="1"/>
  <c r="J404" i="1" s="1"/>
  <c r="G405" i="1"/>
  <c r="J405" i="1" s="1"/>
  <c r="G406" i="1"/>
  <c r="J406" i="1" s="1"/>
  <c r="G407" i="1"/>
  <c r="J407" i="1" s="1"/>
  <c r="G408" i="1"/>
  <c r="J408" i="1" s="1"/>
  <c r="G409" i="1"/>
  <c r="J409" i="1" s="1"/>
  <c r="G410" i="1"/>
  <c r="J410" i="1" s="1"/>
  <c r="G411" i="1"/>
  <c r="J411" i="1" s="1"/>
  <c r="G412" i="1"/>
  <c r="J412" i="1" s="1"/>
  <c r="G413" i="1"/>
  <c r="J413" i="1" s="1"/>
  <c r="G414" i="1"/>
  <c r="J414" i="1" s="1"/>
  <c r="G415" i="1"/>
  <c r="J415" i="1" s="1"/>
  <c r="G416" i="1"/>
  <c r="J416" i="1" s="1"/>
  <c r="G417" i="1"/>
  <c r="J417" i="1" s="1"/>
  <c r="G418" i="1"/>
  <c r="J418" i="1" s="1"/>
  <c r="G419" i="1"/>
  <c r="J419" i="1" s="1"/>
  <c r="G420" i="1"/>
  <c r="J420" i="1" s="1"/>
  <c r="G421" i="1"/>
  <c r="J421" i="1" s="1"/>
  <c r="G422" i="1"/>
  <c r="J422" i="1" s="1"/>
  <c r="G423" i="1"/>
  <c r="J423" i="1" s="1"/>
  <c r="G424" i="1"/>
  <c r="J424" i="1" s="1"/>
  <c r="G425" i="1"/>
  <c r="J425" i="1" s="1"/>
  <c r="G426" i="1"/>
  <c r="J426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434" i="1"/>
  <c r="J434" i="1" s="1"/>
  <c r="G435" i="1"/>
  <c r="J435" i="1" s="1"/>
  <c r="G436" i="1"/>
  <c r="J436" i="1" s="1"/>
  <c r="G437" i="1"/>
  <c r="J437" i="1" s="1"/>
  <c r="G438" i="1"/>
  <c r="J438" i="1" s="1"/>
  <c r="G439" i="1"/>
  <c r="J439" i="1" s="1"/>
  <c r="G440" i="1"/>
  <c r="J440" i="1" s="1"/>
  <c r="G441" i="1"/>
  <c r="J441" i="1" s="1"/>
  <c r="G442" i="1"/>
  <c r="J442" i="1" s="1"/>
  <c r="G443" i="1"/>
  <c r="J443" i="1" s="1"/>
  <c r="G444" i="1"/>
  <c r="J444" i="1" s="1"/>
  <c r="G445" i="1"/>
  <c r="J445" i="1" s="1"/>
  <c r="G446" i="1"/>
  <c r="J446" i="1" s="1"/>
  <c r="G447" i="1"/>
  <c r="J447" i="1" s="1"/>
  <c r="G448" i="1"/>
  <c r="J448" i="1" s="1"/>
  <c r="G449" i="1"/>
  <c r="J449" i="1" s="1"/>
  <c r="G450" i="1"/>
  <c r="J450" i="1" s="1"/>
  <c r="G451" i="1"/>
  <c r="J451" i="1" s="1"/>
  <c r="G452" i="1"/>
  <c r="J452" i="1" s="1"/>
  <c r="G453" i="1"/>
  <c r="J453" i="1" s="1"/>
  <c r="G454" i="1"/>
  <c r="J454" i="1" s="1"/>
  <c r="G455" i="1"/>
  <c r="J455" i="1" s="1"/>
  <c r="G456" i="1"/>
  <c r="J456" i="1" s="1"/>
  <c r="G457" i="1"/>
  <c r="J457" i="1" s="1"/>
  <c r="G458" i="1"/>
  <c r="J458" i="1" s="1"/>
  <c r="G459" i="1"/>
  <c r="J459" i="1" s="1"/>
  <c r="G460" i="1"/>
  <c r="J460" i="1" s="1"/>
  <c r="G461" i="1"/>
  <c r="J461" i="1" s="1"/>
  <c r="G462" i="1"/>
  <c r="J462" i="1" s="1"/>
  <c r="G463" i="1"/>
  <c r="J463" i="1" s="1"/>
  <c r="G464" i="1"/>
  <c r="J464" i="1" s="1"/>
  <c r="G465" i="1"/>
  <c r="J465" i="1" s="1"/>
  <c r="G466" i="1"/>
  <c r="J466" i="1" s="1"/>
  <c r="G467" i="1"/>
  <c r="J467" i="1" s="1"/>
  <c r="G468" i="1"/>
  <c r="J468" i="1" s="1"/>
  <c r="G469" i="1"/>
  <c r="J469" i="1" s="1"/>
  <c r="G470" i="1"/>
  <c r="J470" i="1" s="1"/>
  <c r="G471" i="1"/>
  <c r="J471" i="1" s="1"/>
  <c r="G472" i="1"/>
  <c r="J472" i="1" s="1"/>
  <c r="G473" i="1"/>
  <c r="J473" i="1" s="1"/>
  <c r="G474" i="1"/>
  <c r="J474" i="1" s="1"/>
  <c r="G475" i="1"/>
  <c r="J475" i="1" s="1"/>
  <c r="G476" i="1"/>
  <c r="J476" i="1" s="1"/>
  <c r="G477" i="1"/>
  <c r="J477" i="1" s="1"/>
  <c r="G478" i="1"/>
  <c r="J478" i="1" s="1"/>
  <c r="G479" i="1"/>
  <c r="J479" i="1" s="1"/>
  <c r="G480" i="1"/>
  <c r="J480" i="1" s="1"/>
  <c r="G481" i="1"/>
  <c r="J481" i="1" s="1"/>
  <c r="G482" i="1"/>
  <c r="J482" i="1" s="1"/>
  <c r="G483" i="1"/>
  <c r="J483" i="1" s="1"/>
  <c r="G484" i="1"/>
  <c r="J484" i="1" s="1"/>
  <c r="G485" i="1"/>
  <c r="J485" i="1" s="1"/>
  <c r="G486" i="1"/>
  <c r="J486" i="1" s="1"/>
  <c r="G487" i="1"/>
  <c r="J487" i="1" s="1"/>
  <c r="G488" i="1"/>
  <c r="J488" i="1" s="1"/>
  <c r="G489" i="1"/>
  <c r="J489" i="1" s="1"/>
  <c r="G490" i="1"/>
  <c r="J490" i="1" s="1"/>
  <c r="G491" i="1"/>
  <c r="J491" i="1" s="1"/>
  <c r="G492" i="1"/>
  <c r="J492" i="1" s="1"/>
  <c r="G493" i="1"/>
  <c r="J493" i="1" s="1"/>
  <c r="G494" i="1"/>
  <c r="J494" i="1" s="1"/>
  <c r="G495" i="1"/>
  <c r="J495" i="1" s="1"/>
  <c r="G496" i="1"/>
  <c r="J496" i="1" s="1"/>
  <c r="G497" i="1"/>
  <c r="J497" i="1" s="1"/>
  <c r="G498" i="1"/>
  <c r="J498" i="1" s="1"/>
  <c r="G499" i="1"/>
  <c r="J499" i="1" s="1"/>
  <c r="G500" i="1"/>
  <c r="J500" i="1" s="1"/>
  <c r="G501" i="1"/>
  <c r="J501" i="1" s="1"/>
  <c r="G502" i="1"/>
  <c r="J502" i="1" s="1"/>
  <c r="G503" i="1"/>
  <c r="J503" i="1" s="1"/>
  <c r="G504" i="1"/>
  <c r="J504" i="1" s="1"/>
  <c r="G505" i="1"/>
  <c r="J505" i="1" s="1"/>
  <c r="G506" i="1"/>
  <c r="J506" i="1" s="1"/>
  <c r="G507" i="1"/>
  <c r="J507" i="1" s="1"/>
  <c r="G508" i="1"/>
  <c r="J508" i="1" s="1"/>
  <c r="G509" i="1"/>
  <c r="J509" i="1" s="1"/>
  <c r="G510" i="1"/>
  <c r="J510" i="1" s="1"/>
  <c r="G511" i="1"/>
  <c r="J511" i="1" s="1"/>
  <c r="G512" i="1"/>
  <c r="J512" i="1" s="1"/>
  <c r="G513" i="1"/>
  <c r="J513" i="1" s="1"/>
  <c r="G514" i="1"/>
  <c r="J514" i="1" s="1"/>
  <c r="G515" i="1"/>
  <c r="J515" i="1" s="1"/>
  <c r="G516" i="1"/>
  <c r="J516" i="1" s="1"/>
  <c r="G517" i="1"/>
  <c r="J517" i="1" s="1"/>
  <c r="G518" i="1"/>
  <c r="J518" i="1" s="1"/>
  <c r="G519" i="1"/>
  <c r="J519" i="1" s="1"/>
  <c r="G520" i="1"/>
  <c r="J520" i="1" s="1"/>
  <c r="G521" i="1"/>
  <c r="J521" i="1" s="1"/>
  <c r="G522" i="1"/>
  <c r="J522" i="1" s="1"/>
  <c r="G523" i="1"/>
  <c r="J523" i="1" s="1"/>
  <c r="G524" i="1"/>
  <c r="J524" i="1" s="1"/>
  <c r="G525" i="1"/>
  <c r="J525" i="1" s="1"/>
  <c r="G526" i="1"/>
  <c r="J526" i="1" s="1"/>
  <c r="G527" i="1"/>
  <c r="J527" i="1" s="1"/>
  <c r="G528" i="1"/>
  <c r="J528" i="1" s="1"/>
  <c r="G529" i="1"/>
  <c r="J529" i="1" s="1"/>
  <c r="G530" i="1"/>
  <c r="J530" i="1" s="1"/>
  <c r="G531" i="1"/>
  <c r="J531" i="1" s="1"/>
  <c r="G532" i="1"/>
  <c r="J532" i="1" s="1"/>
  <c r="G533" i="1"/>
  <c r="J533" i="1" s="1"/>
  <c r="G534" i="1"/>
  <c r="J534" i="1" s="1"/>
  <c r="G535" i="1"/>
  <c r="J535" i="1" s="1"/>
  <c r="G536" i="1"/>
  <c r="J536" i="1" s="1"/>
  <c r="G537" i="1"/>
  <c r="J537" i="1" s="1"/>
  <c r="G538" i="1"/>
  <c r="J538" i="1" s="1"/>
  <c r="G539" i="1"/>
  <c r="J539" i="1" s="1"/>
  <c r="G540" i="1"/>
  <c r="J540" i="1" s="1"/>
  <c r="G541" i="1"/>
  <c r="J541" i="1" s="1"/>
  <c r="G542" i="1"/>
  <c r="J542" i="1" s="1"/>
  <c r="G543" i="1"/>
  <c r="J543" i="1" s="1"/>
  <c r="G544" i="1"/>
  <c r="J544" i="1" s="1"/>
  <c r="G545" i="1"/>
  <c r="J545" i="1" s="1"/>
  <c r="G546" i="1"/>
  <c r="J546" i="1" s="1"/>
  <c r="G547" i="1"/>
  <c r="J547" i="1" s="1"/>
  <c r="G548" i="1"/>
  <c r="J548" i="1" s="1"/>
  <c r="G549" i="1"/>
  <c r="J549" i="1" s="1"/>
  <c r="G550" i="1"/>
  <c r="J550" i="1" s="1"/>
  <c r="G551" i="1"/>
  <c r="J551" i="1" s="1"/>
  <c r="G552" i="1"/>
  <c r="J552" i="1" s="1"/>
  <c r="G553" i="1"/>
  <c r="J553" i="1" s="1"/>
  <c r="G554" i="1"/>
  <c r="J554" i="1" s="1"/>
  <c r="G555" i="1"/>
  <c r="J555" i="1" s="1"/>
  <c r="G556" i="1"/>
  <c r="J556" i="1" s="1"/>
  <c r="G557" i="1"/>
  <c r="J557" i="1" s="1"/>
  <c r="G558" i="1"/>
  <c r="J558" i="1" s="1"/>
  <c r="G559" i="1"/>
  <c r="J559" i="1" s="1"/>
  <c r="G560" i="1"/>
  <c r="J560" i="1" s="1"/>
  <c r="G561" i="1"/>
  <c r="J561" i="1" s="1"/>
  <c r="G562" i="1"/>
  <c r="J562" i="1" s="1"/>
  <c r="G563" i="1"/>
  <c r="J563" i="1" s="1"/>
  <c r="G564" i="1"/>
  <c r="J564" i="1" s="1"/>
  <c r="G565" i="1"/>
  <c r="J565" i="1" s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J571" i="1" s="1"/>
  <c r="G572" i="1"/>
  <c r="J572" i="1" s="1"/>
  <c r="G573" i="1"/>
  <c r="J573" i="1" s="1"/>
  <c r="G574" i="1"/>
  <c r="J574" i="1" s="1"/>
  <c r="G575" i="1"/>
  <c r="J575" i="1" s="1"/>
  <c r="G576" i="1"/>
  <c r="J576" i="1" s="1"/>
  <c r="G577" i="1"/>
  <c r="J577" i="1" s="1"/>
  <c r="G578" i="1"/>
  <c r="J578" i="1" s="1"/>
  <c r="G579" i="1"/>
  <c r="J579" i="1" s="1"/>
  <c r="G580" i="1"/>
  <c r="J580" i="1" s="1"/>
  <c r="G581" i="1"/>
  <c r="J581" i="1" s="1"/>
  <c r="G582" i="1"/>
  <c r="J582" i="1" s="1"/>
  <c r="G583" i="1"/>
  <c r="J583" i="1" s="1"/>
  <c r="G584" i="1"/>
  <c r="J584" i="1" s="1"/>
  <c r="G585" i="1"/>
  <c r="J585" i="1" s="1"/>
  <c r="G586" i="1"/>
  <c r="J586" i="1" s="1"/>
  <c r="G587" i="1"/>
  <c r="J587" i="1" s="1"/>
  <c r="G588" i="1"/>
  <c r="J588" i="1" s="1"/>
  <c r="G589" i="1"/>
  <c r="J589" i="1" s="1"/>
  <c r="G590" i="1"/>
  <c r="J590" i="1" s="1"/>
  <c r="G591" i="1"/>
  <c r="J591" i="1" s="1"/>
  <c r="G592" i="1"/>
  <c r="J592" i="1" s="1"/>
  <c r="G593" i="1"/>
  <c r="J593" i="1" s="1"/>
  <c r="G594" i="1"/>
  <c r="J594" i="1" s="1"/>
  <c r="G595" i="1"/>
  <c r="J595" i="1" s="1"/>
  <c r="G596" i="1"/>
  <c r="J596" i="1" s="1"/>
  <c r="G597" i="1"/>
  <c r="J597" i="1" s="1"/>
  <c r="G598" i="1"/>
  <c r="J598" i="1" s="1"/>
  <c r="G599" i="1"/>
  <c r="J599" i="1" s="1"/>
  <c r="G600" i="1"/>
  <c r="J600" i="1" s="1"/>
  <c r="G601" i="1"/>
  <c r="J601" i="1" s="1"/>
  <c r="G602" i="1"/>
  <c r="J602" i="1" s="1"/>
  <c r="G603" i="1"/>
  <c r="J603" i="1" s="1"/>
  <c r="G604" i="1"/>
  <c r="J604" i="1" s="1"/>
  <c r="G605" i="1"/>
  <c r="J605" i="1" s="1"/>
  <c r="G606" i="1"/>
  <c r="J606" i="1" s="1"/>
  <c r="G607" i="1"/>
  <c r="J607" i="1" s="1"/>
  <c r="G608" i="1"/>
  <c r="J608" i="1" s="1"/>
  <c r="G609" i="1"/>
  <c r="J609" i="1" s="1"/>
  <c r="G610" i="1"/>
  <c r="J610" i="1" s="1"/>
  <c r="G611" i="1"/>
  <c r="J611" i="1" s="1"/>
  <c r="G612" i="1"/>
  <c r="J612" i="1" s="1"/>
  <c r="G613" i="1"/>
  <c r="J613" i="1" s="1"/>
  <c r="G614" i="1"/>
  <c r="J614" i="1" s="1"/>
  <c r="G615" i="1"/>
  <c r="J615" i="1" s="1"/>
  <c r="G616" i="1"/>
  <c r="J616" i="1" s="1"/>
  <c r="G617" i="1"/>
  <c r="J617" i="1" s="1"/>
  <c r="G618" i="1"/>
  <c r="J618" i="1" s="1"/>
  <c r="G619" i="1"/>
  <c r="J619" i="1" s="1"/>
  <c r="G620" i="1"/>
  <c r="J620" i="1" s="1"/>
  <c r="G621" i="1"/>
  <c r="J621" i="1" s="1"/>
  <c r="G622" i="1"/>
  <c r="J622" i="1" s="1"/>
  <c r="G623" i="1"/>
  <c r="J623" i="1" s="1"/>
  <c r="G624" i="1"/>
  <c r="J624" i="1" s="1"/>
  <c r="G625" i="1"/>
  <c r="J625" i="1" s="1"/>
  <c r="G626" i="1"/>
  <c r="J626" i="1" s="1"/>
  <c r="G627" i="1"/>
  <c r="J627" i="1" s="1"/>
  <c r="G628" i="1"/>
  <c r="J628" i="1" s="1"/>
  <c r="G629" i="1"/>
  <c r="J629" i="1" s="1"/>
  <c r="G630" i="1"/>
  <c r="J630" i="1" s="1"/>
  <c r="G631" i="1"/>
  <c r="J631" i="1" s="1"/>
  <c r="G632" i="1"/>
  <c r="J632" i="1" s="1"/>
  <c r="G633" i="1"/>
  <c r="J633" i="1" s="1"/>
  <c r="G634" i="1"/>
  <c r="J634" i="1" s="1"/>
  <c r="G635" i="1"/>
  <c r="J635" i="1" s="1"/>
  <c r="G636" i="1"/>
  <c r="J636" i="1" s="1"/>
  <c r="G637" i="1"/>
  <c r="J637" i="1" s="1"/>
  <c r="G638" i="1"/>
  <c r="J638" i="1" s="1"/>
  <c r="G639" i="1"/>
  <c r="J639" i="1" s="1"/>
  <c r="G640" i="1"/>
  <c r="J640" i="1" s="1"/>
  <c r="G641" i="1"/>
  <c r="J641" i="1" s="1"/>
  <c r="G642" i="1"/>
  <c r="J642" i="1" s="1"/>
  <c r="G643" i="1"/>
  <c r="J643" i="1" s="1"/>
  <c r="G644" i="1"/>
  <c r="J644" i="1" s="1"/>
  <c r="G645" i="1"/>
  <c r="J645" i="1" s="1"/>
  <c r="G646" i="1"/>
  <c r="J646" i="1" s="1"/>
  <c r="G647" i="1"/>
  <c r="J647" i="1" s="1"/>
  <c r="G648" i="1"/>
  <c r="J648" i="1" s="1"/>
  <c r="G649" i="1"/>
  <c r="J649" i="1" s="1"/>
  <c r="G2" i="1"/>
  <c r="J2" i="1" s="1"/>
  <c r="I12" i="1" l="1"/>
  <c r="I4" i="1"/>
  <c r="I11" i="1"/>
  <c r="P3" i="1"/>
  <c r="K4" i="1" s="1"/>
  <c r="T12" i="1" a="1"/>
  <c r="T12" i="1" s="1"/>
  <c r="T6" i="1"/>
  <c r="P4" i="1" l="1"/>
  <c r="O4" i="1"/>
  <c r="L2" i="1"/>
  <c r="M2" i="1"/>
  <c r="N2" i="1" l="1"/>
  <c r="K5" i="1"/>
  <c r="L3" i="1"/>
  <c r="M3" i="1"/>
  <c r="N3" i="1" l="1"/>
  <c r="P5" i="1"/>
  <c r="O5" i="1"/>
  <c r="M4" i="1"/>
  <c r="L4" i="1"/>
  <c r="K6" i="1" l="1"/>
  <c r="O6" i="1" s="1"/>
  <c r="N4" i="1"/>
  <c r="L5" i="1"/>
  <c r="M5" i="1"/>
  <c r="P6" i="1" l="1"/>
  <c r="K7" i="1" s="1"/>
  <c r="O7" i="1" s="1"/>
  <c r="N5" i="1"/>
  <c r="L6" i="1"/>
  <c r="M6" i="1"/>
  <c r="N6" i="1" l="1"/>
  <c r="P7" i="1"/>
  <c r="K8" i="1" s="1"/>
  <c r="P8" i="1" s="1"/>
  <c r="L7" i="1"/>
  <c r="M7" i="1"/>
  <c r="O8" i="1" l="1"/>
  <c r="K9" i="1" s="1"/>
  <c r="P9" i="1" s="1"/>
  <c r="N7" i="1"/>
  <c r="L8" i="1"/>
  <c r="M8" i="1"/>
  <c r="O9" i="1" l="1"/>
  <c r="K10" i="1" s="1"/>
  <c r="N8" i="1"/>
  <c r="L9" i="1"/>
  <c r="M9" i="1"/>
  <c r="P10" i="1" l="1"/>
  <c r="O10" i="1"/>
  <c r="N9" i="1"/>
  <c r="M10" i="1"/>
  <c r="L10" i="1"/>
  <c r="K11" i="1" l="1"/>
  <c r="P11" i="1" s="1"/>
  <c r="N10" i="1"/>
  <c r="L11" i="1" l="1"/>
  <c r="M11" i="1"/>
  <c r="O11" i="1"/>
  <c r="K12" i="1" s="1"/>
  <c r="O12" i="1" s="1"/>
  <c r="N11" i="1" l="1"/>
  <c r="L12" i="1"/>
  <c r="P12" i="1"/>
  <c r="K13" i="1" s="1"/>
  <c r="P13" i="1" s="1"/>
  <c r="M12" i="1"/>
  <c r="N12" i="1" l="1"/>
  <c r="L13" i="1"/>
  <c r="O13" i="1"/>
  <c r="K14" i="1" s="1"/>
  <c r="P14" i="1" s="1"/>
  <c r="M13" i="1"/>
  <c r="N13" i="1" s="1"/>
  <c r="L14" i="1" l="1"/>
  <c r="M14" i="1"/>
  <c r="O14" i="1"/>
  <c r="K15" i="1" s="1"/>
  <c r="P15" i="1" s="1"/>
  <c r="N14" i="1" l="1"/>
  <c r="L15" i="1"/>
  <c r="M15" i="1"/>
  <c r="O15" i="1"/>
  <c r="K16" i="1" s="1"/>
  <c r="O16" i="1" s="1"/>
  <c r="N15" i="1" l="1"/>
  <c r="P16" i="1"/>
  <c r="K17" i="1" s="1"/>
  <c r="M17" i="1" s="1"/>
  <c r="L16" i="1"/>
  <c r="M16" i="1"/>
  <c r="N16" i="1" l="1"/>
  <c r="L17" i="1"/>
  <c r="N17" i="1" s="1"/>
  <c r="P17" i="1"/>
  <c r="O17" i="1"/>
  <c r="K18" i="1" l="1"/>
  <c r="P18" i="1" l="1"/>
  <c r="O18" i="1"/>
  <c r="M18" i="1"/>
  <c r="L18" i="1"/>
  <c r="N18" i="1" l="1"/>
  <c r="K19" i="1"/>
  <c r="P19" i="1" l="1"/>
  <c r="O19" i="1"/>
  <c r="L19" i="1"/>
  <c r="M19" i="1"/>
  <c r="K20" i="1" l="1"/>
  <c r="L20" i="1" s="1"/>
  <c r="N19" i="1"/>
  <c r="P20" i="1" l="1"/>
  <c r="M20" i="1"/>
  <c r="N20" i="1" s="1"/>
  <c r="O20" i="1"/>
  <c r="K21" i="1" l="1"/>
  <c r="P21" i="1" s="1"/>
  <c r="L21" i="1" l="1"/>
  <c r="O21" i="1"/>
  <c r="M21" i="1"/>
  <c r="K22" i="1"/>
  <c r="N21" i="1" l="1"/>
  <c r="P22" i="1"/>
  <c r="O22" i="1"/>
  <c r="M22" i="1"/>
  <c r="L22" i="1"/>
  <c r="N22" i="1" l="1"/>
  <c r="K23" i="1"/>
  <c r="L23" i="1" s="1"/>
  <c r="O23" i="1" l="1"/>
  <c r="M23" i="1"/>
  <c r="N23" i="1" s="1"/>
  <c r="P23" i="1"/>
  <c r="K24" i="1" l="1"/>
  <c r="P24" i="1" l="1"/>
  <c r="M24" i="1"/>
  <c r="L24" i="1"/>
  <c r="O24" i="1"/>
  <c r="N24" i="1" l="1"/>
  <c r="K25" i="1"/>
  <c r="L25" i="1" l="1"/>
  <c r="M25" i="1"/>
  <c r="O25" i="1"/>
  <c r="P25" i="1"/>
  <c r="K26" i="1" l="1"/>
  <c r="M26" i="1" s="1"/>
  <c r="N25" i="1"/>
  <c r="O26" i="1" l="1"/>
  <c r="P26" i="1"/>
  <c r="L26" i="1"/>
  <c r="N26" i="1" s="1"/>
  <c r="K27" i="1" l="1"/>
  <c r="O27" i="1" s="1"/>
  <c r="P27" i="1" l="1"/>
  <c r="K28" i="1" s="1"/>
  <c r="L27" i="1"/>
  <c r="M27" i="1"/>
  <c r="N27" i="1" s="1"/>
  <c r="L28" i="1" l="1"/>
  <c r="O28" i="1"/>
  <c r="M28" i="1"/>
  <c r="P28" i="1"/>
  <c r="K29" i="1" s="1"/>
  <c r="N28" i="1" l="1"/>
  <c r="P29" i="1"/>
  <c r="M29" i="1"/>
  <c r="L29" i="1"/>
  <c r="O29" i="1"/>
  <c r="N29" i="1" l="1"/>
  <c r="K30" i="1"/>
  <c r="O30" i="1" s="1"/>
  <c r="P30" i="1" l="1"/>
  <c r="K31" i="1" s="1"/>
  <c r="P31" i="1" s="1"/>
  <c r="L30" i="1"/>
  <c r="M30" i="1"/>
  <c r="N30" i="1" s="1"/>
  <c r="M31" i="1" l="1"/>
  <c r="L31" i="1"/>
  <c r="O31" i="1"/>
  <c r="K32" i="1" s="1"/>
  <c r="O32" i="1" s="1"/>
  <c r="N31" i="1" l="1"/>
  <c r="M32" i="1"/>
  <c r="P32" i="1"/>
  <c r="K33" i="1" s="1"/>
  <c r="O33" i="1" s="1"/>
  <c r="L32" i="1"/>
  <c r="N32" i="1" s="1"/>
  <c r="P33" i="1" l="1"/>
  <c r="K34" i="1" s="1"/>
  <c r="P34" i="1" s="1"/>
  <c r="L33" i="1"/>
  <c r="M33" i="1"/>
  <c r="L34" i="1" l="1"/>
  <c r="M34" i="1"/>
  <c r="O34" i="1"/>
  <c r="K35" i="1" s="1"/>
  <c r="N33" i="1"/>
  <c r="N34" i="1" l="1"/>
  <c r="M35" i="1"/>
  <c r="P35" i="1"/>
  <c r="O35" i="1"/>
  <c r="L35" i="1"/>
  <c r="N35" i="1" l="1"/>
  <c r="K36" i="1"/>
  <c r="L36" i="1" l="1"/>
  <c r="M36" i="1"/>
  <c r="P36" i="1"/>
  <c r="O36" i="1"/>
  <c r="K37" i="1" l="1"/>
  <c r="L37" i="1" s="1"/>
  <c r="N36" i="1"/>
  <c r="M37" i="1" l="1"/>
  <c r="N37" i="1" s="1"/>
  <c r="O37" i="1"/>
  <c r="P37" i="1"/>
  <c r="K38" i="1" l="1"/>
  <c r="L38" i="1" s="1"/>
  <c r="P38" i="1" l="1"/>
  <c r="O38" i="1"/>
  <c r="M38" i="1"/>
  <c r="N38" i="1" s="1"/>
  <c r="K39" i="1" l="1"/>
  <c r="M39" i="1" s="1"/>
  <c r="P39" i="1" l="1"/>
  <c r="O39" i="1"/>
  <c r="L39" i="1"/>
  <c r="N39" i="1" s="1"/>
  <c r="K40" i="1" l="1"/>
  <c r="M40" i="1" s="1"/>
  <c r="O40" i="1" l="1"/>
  <c r="L40" i="1"/>
  <c r="N40" i="1" s="1"/>
  <c r="P40" i="1"/>
  <c r="K41" i="1"/>
  <c r="P41" i="1" s="1"/>
  <c r="O41" i="1" l="1"/>
  <c r="K42" i="1" s="1"/>
  <c r="M42" i="1" s="1"/>
  <c r="M41" i="1"/>
  <c r="L41" i="1"/>
  <c r="N41" i="1" l="1"/>
  <c r="P42" i="1"/>
  <c r="O42" i="1"/>
  <c r="L42" i="1"/>
  <c r="N42" i="1" s="1"/>
  <c r="K43" i="1" l="1"/>
  <c r="P43" i="1" s="1"/>
  <c r="O43" i="1" l="1"/>
  <c r="K44" i="1" s="1"/>
  <c r="P44" i="1" s="1"/>
  <c r="M43" i="1"/>
  <c r="L43" i="1"/>
  <c r="N43" i="1" l="1"/>
  <c r="O44" i="1"/>
  <c r="K45" i="1" s="1"/>
  <c r="L45" i="1" s="1"/>
  <c r="M44" i="1"/>
  <c r="L44" i="1"/>
  <c r="N44" i="1" s="1"/>
  <c r="P45" i="1" l="1"/>
  <c r="O45" i="1"/>
  <c r="M45" i="1"/>
  <c r="N45" i="1" s="1"/>
  <c r="K46" i="1"/>
  <c r="L46" i="1" l="1"/>
  <c r="P46" i="1"/>
  <c r="M46" i="1"/>
  <c r="O46" i="1"/>
  <c r="K47" i="1" l="1"/>
  <c r="M47" i="1" s="1"/>
  <c r="N46" i="1"/>
  <c r="L47" i="1" l="1"/>
  <c r="N47" i="1" s="1"/>
  <c r="P47" i="1"/>
  <c r="O47" i="1"/>
  <c r="K48" i="1" l="1"/>
  <c r="P48" i="1" l="1"/>
  <c r="L48" i="1"/>
  <c r="O48" i="1"/>
  <c r="K49" i="1" s="1"/>
  <c r="M48" i="1"/>
  <c r="P49" i="1" l="1"/>
  <c r="L49" i="1"/>
  <c r="O49" i="1"/>
  <c r="M49" i="1"/>
  <c r="N48" i="1"/>
  <c r="K50" i="1" l="1"/>
  <c r="O50" i="1" s="1"/>
  <c r="N49" i="1"/>
  <c r="M50" i="1"/>
  <c r="L50" i="1" l="1"/>
  <c r="P50" i="1"/>
  <c r="K51" i="1" s="1"/>
  <c r="N50" i="1"/>
  <c r="O51" i="1" l="1"/>
  <c r="L51" i="1"/>
  <c r="M51" i="1"/>
  <c r="P51" i="1"/>
  <c r="K52" i="1" s="1"/>
  <c r="M52" i="1" l="1"/>
  <c r="P52" i="1"/>
  <c r="L52" i="1"/>
  <c r="O52" i="1"/>
  <c r="N51" i="1"/>
  <c r="N52" i="1" l="1"/>
  <c r="K53" i="1"/>
  <c r="P53" i="1" l="1"/>
  <c r="L53" i="1"/>
  <c r="O53" i="1"/>
  <c r="M53" i="1"/>
  <c r="N53" i="1" l="1"/>
  <c r="K54" i="1"/>
  <c r="O54" i="1" l="1"/>
  <c r="M54" i="1"/>
  <c r="P54" i="1"/>
  <c r="K55" i="1" s="1"/>
  <c r="L54" i="1"/>
  <c r="N54" i="1" s="1"/>
  <c r="M55" i="1" l="1"/>
  <c r="P55" i="1"/>
  <c r="O55" i="1"/>
  <c r="L55" i="1"/>
  <c r="N55" i="1" s="1"/>
  <c r="K56" i="1" l="1"/>
  <c r="L56" i="1" l="1"/>
  <c r="P56" i="1"/>
  <c r="M56" i="1"/>
  <c r="O56" i="1"/>
  <c r="K57" i="1" l="1"/>
  <c r="M57" i="1" s="1"/>
  <c r="N56" i="1"/>
  <c r="L57" i="1" l="1"/>
  <c r="O57" i="1"/>
  <c r="P57" i="1"/>
  <c r="K58" i="1" s="1"/>
  <c r="O58" i="1" s="1"/>
  <c r="N57" i="1"/>
  <c r="P58" i="1" l="1"/>
  <c r="K59" i="1" s="1"/>
  <c r="P59" i="1" s="1"/>
  <c r="L58" i="1"/>
  <c r="N58" i="1" s="1"/>
  <c r="M58" i="1"/>
  <c r="M59" i="1" l="1"/>
  <c r="O59" i="1"/>
  <c r="K60" i="1" s="1"/>
  <c r="M60" i="1" s="1"/>
  <c r="L59" i="1"/>
  <c r="N59" i="1" s="1"/>
  <c r="L60" i="1" l="1"/>
  <c r="O60" i="1"/>
  <c r="P60" i="1"/>
  <c r="K61" i="1" s="1"/>
  <c r="O61" i="1" s="1"/>
  <c r="N60" i="1"/>
  <c r="P61" i="1" l="1"/>
  <c r="K62" i="1" s="1"/>
  <c r="M62" i="1" s="1"/>
  <c r="L61" i="1"/>
  <c r="M61" i="1"/>
  <c r="N61" i="1" l="1"/>
  <c r="O62" i="1"/>
  <c r="P62" i="1"/>
  <c r="K63" i="1" s="1"/>
  <c r="L62" i="1"/>
  <c r="N62" i="1" s="1"/>
  <c r="M63" i="1" l="1"/>
  <c r="L63" i="1"/>
  <c r="P63" i="1"/>
  <c r="O63" i="1"/>
  <c r="K64" i="1" l="1"/>
  <c r="P64" i="1" s="1"/>
  <c r="N63" i="1"/>
  <c r="M64" i="1" l="1"/>
  <c r="L64" i="1"/>
  <c r="N64" i="1" s="1"/>
  <c r="O64" i="1"/>
  <c r="K65" i="1" s="1"/>
  <c r="M65" i="1" l="1"/>
  <c r="P65" i="1"/>
  <c r="O65" i="1"/>
  <c r="L65" i="1"/>
  <c r="N65" i="1" l="1"/>
  <c r="K66" i="1"/>
  <c r="M66" i="1" l="1"/>
  <c r="O66" i="1"/>
  <c r="P66" i="1"/>
  <c r="L66" i="1"/>
  <c r="K67" i="1" l="1"/>
  <c r="O67" i="1" s="1"/>
  <c r="N66" i="1"/>
  <c r="P67" i="1" l="1"/>
  <c r="K68" i="1" s="1"/>
  <c r="O68" i="1" s="1"/>
  <c r="L67" i="1"/>
  <c r="N67" i="1" s="1"/>
  <c r="M67" i="1"/>
  <c r="P68" i="1" l="1"/>
  <c r="M68" i="1"/>
  <c r="N68" i="1" s="1"/>
  <c r="L68" i="1"/>
  <c r="K69" i="1"/>
  <c r="P69" i="1" l="1"/>
  <c r="M69" i="1"/>
  <c r="O69" i="1"/>
  <c r="L69" i="1"/>
  <c r="N69" i="1" l="1"/>
  <c r="K70" i="1"/>
  <c r="P70" i="1" s="1"/>
  <c r="O70" i="1" l="1"/>
  <c r="K71" i="1" s="1"/>
  <c r="L71" i="1" s="1"/>
  <c r="M70" i="1"/>
  <c r="L70" i="1"/>
  <c r="N70" i="1" l="1"/>
  <c r="P71" i="1"/>
  <c r="O71" i="1"/>
  <c r="M71" i="1"/>
  <c r="N71" i="1" s="1"/>
  <c r="K72" i="1" l="1"/>
  <c r="M72" i="1" l="1"/>
  <c r="O72" i="1"/>
  <c r="L72" i="1"/>
  <c r="P72" i="1"/>
  <c r="K73" i="1" l="1"/>
  <c r="M73" i="1" s="1"/>
  <c r="N72" i="1"/>
  <c r="P73" i="1" l="1"/>
  <c r="O73" i="1"/>
  <c r="L73" i="1"/>
  <c r="N73" i="1" s="1"/>
  <c r="K74" i="1" l="1"/>
  <c r="O74" i="1" s="1"/>
  <c r="P74" i="1" l="1"/>
  <c r="K75" i="1" s="1"/>
  <c r="M75" i="1" s="1"/>
  <c r="L74" i="1"/>
  <c r="M74" i="1"/>
  <c r="N74" i="1"/>
  <c r="L75" i="1"/>
  <c r="O75" i="1"/>
  <c r="P75" i="1"/>
  <c r="K76" i="1" s="1"/>
  <c r="N75" i="1"/>
  <c r="M76" i="1" l="1"/>
  <c r="O76" i="1"/>
  <c r="P76" i="1"/>
  <c r="L76" i="1"/>
  <c r="K77" i="1" l="1"/>
  <c r="M77" i="1" s="1"/>
  <c r="N76" i="1"/>
  <c r="L77" i="1" l="1"/>
  <c r="N77" i="1" s="1"/>
  <c r="P77" i="1"/>
  <c r="O77" i="1"/>
  <c r="K78" i="1" l="1"/>
  <c r="O78" i="1" s="1"/>
  <c r="M78" i="1" l="1"/>
  <c r="P78" i="1"/>
  <c r="K79" i="1" s="1"/>
  <c r="L78" i="1"/>
  <c r="N78" i="1"/>
  <c r="L79" i="1" l="1"/>
  <c r="O79" i="1"/>
  <c r="P79" i="1"/>
  <c r="M79" i="1"/>
  <c r="N79" i="1" l="1"/>
  <c r="K80" i="1"/>
  <c r="P80" i="1" l="1"/>
  <c r="M80" i="1"/>
  <c r="O80" i="1"/>
  <c r="L80" i="1"/>
  <c r="N80" i="1" l="1"/>
  <c r="K81" i="1"/>
  <c r="P81" i="1" s="1"/>
  <c r="M81" i="1" l="1"/>
  <c r="L81" i="1"/>
  <c r="O81" i="1"/>
  <c r="K82" i="1" s="1"/>
  <c r="N81" i="1" l="1"/>
  <c r="P82" i="1"/>
  <c r="M82" i="1"/>
  <c r="O82" i="1"/>
  <c r="L82" i="1"/>
  <c r="K83" i="1" l="1"/>
  <c r="M83" i="1" s="1"/>
  <c r="N82" i="1"/>
  <c r="P83" i="1" l="1"/>
  <c r="K84" i="1" s="1"/>
  <c r="O84" i="1" s="1"/>
  <c r="L83" i="1"/>
  <c r="N83" i="1" s="1"/>
  <c r="O83" i="1"/>
  <c r="P84" i="1" l="1"/>
  <c r="K85" i="1" s="1"/>
  <c r="L84" i="1"/>
  <c r="M84" i="1"/>
  <c r="N84" i="1" l="1"/>
  <c r="O85" i="1"/>
  <c r="M85" i="1"/>
  <c r="L85" i="1"/>
  <c r="P85" i="1"/>
  <c r="N85" i="1" l="1"/>
  <c r="K86" i="1"/>
  <c r="M86" i="1" l="1"/>
  <c r="O86" i="1"/>
  <c r="L86" i="1"/>
  <c r="P86" i="1"/>
  <c r="K87" i="1" s="1"/>
  <c r="N86" i="1" l="1"/>
  <c r="O87" i="1"/>
  <c r="L87" i="1"/>
  <c r="M87" i="1"/>
  <c r="P87" i="1"/>
  <c r="K88" i="1" l="1"/>
  <c r="M88" i="1" s="1"/>
  <c r="N87" i="1"/>
  <c r="L88" i="1" l="1"/>
  <c r="N88" i="1" s="1"/>
  <c r="O88" i="1"/>
  <c r="P88" i="1"/>
  <c r="K89" i="1" s="1"/>
  <c r="P89" i="1" s="1"/>
  <c r="M89" i="1" l="1"/>
  <c r="L89" i="1"/>
  <c r="N89" i="1" s="1"/>
  <c r="O89" i="1"/>
  <c r="K90" i="1"/>
  <c r="P90" i="1" l="1"/>
  <c r="M90" i="1"/>
  <c r="O90" i="1"/>
  <c r="L90" i="1"/>
  <c r="N90" i="1" l="1"/>
  <c r="K91" i="1"/>
  <c r="M91" i="1" s="1"/>
  <c r="O91" i="1" l="1"/>
  <c r="L91" i="1"/>
  <c r="N91" i="1" s="1"/>
  <c r="P91" i="1"/>
  <c r="K92" i="1" l="1"/>
  <c r="O92" i="1" s="1"/>
  <c r="L92" i="1" l="1"/>
  <c r="M92" i="1"/>
  <c r="P92" i="1"/>
  <c r="K93" i="1" s="1"/>
  <c r="M93" i="1" s="1"/>
  <c r="N92" i="1" l="1"/>
  <c r="O93" i="1"/>
  <c r="L93" i="1"/>
  <c r="N93" i="1" s="1"/>
  <c r="P93" i="1"/>
  <c r="K94" i="1" s="1"/>
  <c r="O94" i="1" s="1"/>
  <c r="L94" i="1" l="1"/>
  <c r="M94" i="1"/>
  <c r="P94" i="1"/>
  <c r="K95" i="1" s="1"/>
  <c r="N94" i="1" l="1"/>
  <c r="O95" i="1"/>
  <c r="P95" i="1"/>
  <c r="L95" i="1"/>
  <c r="M95" i="1"/>
  <c r="K96" i="1" l="1"/>
  <c r="P96" i="1" s="1"/>
  <c r="N95" i="1"/>
  <c r="L96" i="1" l="1"/>
  <c r="M96" i="1"/>
  <c r="O96" i="1"/>
  <c r="K97" i="1" s="1"/>
  <c r="P97" i="1" s="1"/>
  <c r="N96" i="1" l="1"/>
  <c r="O97" i="1"/>
  <c r="M97" i="1"/>
  <c r="L97" i="1"/>
  <c r="K98" i="1"/>
  <c r="N97" i="1" l="1"/>
  <c r="P98" i="1"/>
  <c r="L98" i="1"/>
  <c r="O98" i="1"/>
  <c r="M98" i="1"/>
  <c r="N98" i="1" l="1"/>
  <c r="K99" i="1"/>
  <c r="M99" i="1" l="1"/>
  <c r="P99" i="1"/>
  <c r="L99" i="1"/>
  <c r="O99" i="1"/>
  <c r="N99" i="1" l="1"/>
  <c r="K100" i="1"/>
  <c r="M100" i="1" s="1"/>
  <c r="L100" i="1" l="1"/>
  <c r="N100" i="1" s="1"/>
  <c r="P100" i="1"/>
  <c r="K101" i="1" s="1"/>
  <c r="L101" i="1" s="1"/>
  <c r="O100" i="1"/>
  <c r="P101" i="1" l="1"/>
  <c r="O101" i="1"/>
  <c r="M101" i="1"/>
  <c r="N101" i="1" s="1"/>
  <c r="K102" i="1" l="1"/>
  <c r="L102" i="1" s="1"/>
  <c r="M102" i="1" l="1"/>
  <c r="O102" i="1"/>
  <c r="P102" i="1"/>
  <c r="K103" i="1" s="1"/>
  <c r="L103" i="1" s="1"/>
  <c r="N102" i="1"/>
  <c r="M103" i="1" l="1"/>
  <c r="N103" i="1" s="1"/>
  <c r="O103" i="1"/>
  <c r="P103" i="1"/>
  <c r="K104" i="1" s="1"/>
  <c r="P104" i="1" s="1"/>
  <c r="L104" i="1" l="1"/>
  <c r="M104" i="1"/>
  <c r="O104" i="1"/>
  <c r="K105" i="1" s="1"/>
  <c r="P105" i="1" s="1"/>
  <c r="N104" i="1" l="1"/>
  <c r="O105" i="1"/>
  <c r="K106" i="1" s="1"/>
  <c r="P106" i="1" s="1"/>
  <c r="M105" i="1"/>
  <c r="L105" i="1"/>
  <c r="N105" i="1" l="1"/>
  <c r="L106" i="1"/>
  <c r="M106" i="1"/>
  <c r="O106" i="1"/>
  <c r="K107" i="1" s="1"/>
  <c r="N106" i="1" l="1"/>
  <c r="M107" i="1"/>
  <c r="O107" i="1"/>
  <c r="L107" i="1"/>
  <c r="N107" i="1" s="1"/>
  <c r="P107" i="1"/>
  <c r="K108" i="1" s="1"/>
  <c r="M108" i="1" s="1"/>
  <c r="L108" i="1" l="1"/>
  <c r="N108" i="1" s="1"/>
  <c r="O108" i="1"/>
  <c r="P108" i="1"/>
  <c r="K109" i="1" l="1"/>
  <c r="L109" i="1" s="1"/>
  <c r="M109" i="1" l="1"/>
  <c r="N109" i="1" s="1"/>
  <c r="O109" i="1"/>
  <c r="P109" i="1"/>
  <c r="K110" i="1" l="1"/>
  <c r="P110" i="1" s="1"/>
  <c r="M110" i="1" l="1"/>
  <c r="O110" i="1"/>
  <c r="K111" i="1" s="1"/>
  <c r="L110" i="1"/>
  <c r="N110" i="1" s="1"/>
  <c r="O111" i="1" l="1"/>
  <c r="P111" i="1"/>
  <c r="K112" i="1" s="1"/>
  <c r="M111" i="1"/>
  <c r="L111" i="1"/>
  <c r="N111" i="1" l="1"/>
  <c r="L112" i="1"/>
  <c r="P112" i="1"/>
  <c r="O112" i="1"/>
  <c r="M112" i="1"/>
  <c r="N112" i="1" l="1"/>
  <c r="K113" i="1"/>
  <c r="P113" i="1" l="1"/>
  <c r="M113" i="1"/>
  <c r="O113" i="1"/>
  <c r="L113" i="1"/>
  <c r="N113" i="1" l="1"/>
  <c r="K114" i="1"/>
  <c r="O114" i="1" s="1"/>
  <c r="L114" i="1" l="1"/>
  <c r="M114" i="1"/>
  <c r="P114" i="1"/>
  <c r="K115" i="1" s="1"/>
  <c r="N114" i="1" l="1"/>
  <c r="M115" i="1"/>
  <c r="O115" i="1"/>
  <c r="L115" i="1"/>
  <c r="P115" i="1"/>
  <c r="N115" i="1" l="1"/>
  <c r="K116" i="1"/>
  <c r="P116" i="1" l="1"/>
  <c r="L116" i="1"/>
  <c r="O116" i="1"/>
  <c r="M116" i="1"/>
  <c r="K117" i="1" l="1"/>
  <c r="M117" i="1" s="1"/>
  <c r="N116" i="1"/>
  <c r="L117" i="1" l="1"/>
  <c r="N117" i="1" s="1"/>
  <c r="P117" i="1"/>
  <c r="O117" i="1"/>
  <c r="K118" i="1" l="1"/>
  <c r="P118" i="1" s="1"/>
  <c r="L118" i="1" l="1"/>
  <c r="O118" i="1"/>
  <c r="K119" i="1" s="1"/>
  <c r="M119" i="1" s="1"/>
  <c r="M118" i="1"/>
  <c r="N118" i="1" s="1"/>
  <c r="O119" i="1" l="1"/>
  <c r="P119" i="1"/>
  <c r="L119" i="1"/>
  <c r="N119" i="1" s="1"/>
  <c r="K120" i="1" l="1"/>
  <c r="P120" i="1" s="1"/>
  <c r="O120" i="1" l="1"/>
  <c r="K121" i="1" s="1"/>
  <c r="P121" i="1" s="1"/>
  <c r="K122" i="1" s="1"/>
  <c r="O122" i="1" s="1"/>
  <c r="M120" i="1"/>
  <c r="L120" i="1"/>
  <c r="N120" i="1" s="1"/>
  <c r="L121" i="1" l="1"/>
  <c r="O121" i="1"/>
  <c r="M121" i="1"/>
  <c r="N121" i="1"/>
  <c r="L122" i="1"/>
  <c r="P122" i="1"/>
  <c r="K123" i="1" s="1"/>
  <c r="P123" i="1" s="1"/>
  <c r="M122" i="1"/>
  <c r="N122" i="1" l="1"/>
  <c r="M123" i="1"/>
  <c r="O123" i="1"/>
  <c r="K124" i="1" s="1"/>
  <c r="L123" i="1"/>
  <c r="N123" i="1" l="1"/>
  <c r="L124" i="1"/>
  <c r="O124" i="1"/>
  <c r="M124" i="1"/>
  <c r="P124" i="1"/>
  <c r="K125" i="1" s="1"/>
  <c r="N124" i="1" l="1"/>
  <c r="L125" i="1"/>
  <c r="O125" i="1"/>
  <c r="P125" i="1"/>
  <c r="K126" i="1" s="1"/>
  <c r="M125" i="1"/>
  <c r="N125" i="1" l="1"/>
  <c r="L126" i="1"/>
  <c r="O126" i="1"/>
  <c r="P126" i="1"/>
  <c r="M126" i="1"/>
  <c r="K127" i="1" l="1"/>
  <c r="L127" i="1" s="1"/>
  <c r="N126" i="1"/>
  <c r="P127" i="1" l="1"/>
  <c r="M127" i="1"/>
  <c r="N127" i="1" s="1"/>
  <c r="O127" i="1"/>
  <c r="K128" i="1" l="1"/>
  <c r="P128" i="1" l="1"/>
  <c r="M128" i="1"/>
  <c r="O128" i="1"/>
  <c r="L128" i="1"/>
  <c r="N128" i="1" s="1"/>
  <c r="K129" i="1" l="1"/>
  <c r="M129" i="1" s="1"/>
  <c r="O129" i="1" l="1"/>
  <c r="P129" i="1"/>
  <c r="K130" i="1" s="1"/>
  <c r="M130" i="1" s="1"/>
  <c r="L129" i="1"/>
  <c r="N129" i="1" s="1"/>
  <c r="L130" i="1" l="1"/>
  <c r="N130" i="1" s="1"/>
  <c r="P130" i="1"/>
  <c r="O130" i="1"/>
  <c r="K131" i="1" l="1"/>
  <c r="M131" i="1" s="1"/>
  <c r="L131" i="1"/>
  <c r="P131" i="1"/>
  <c r="N131" i="1" l="1"/>
  <c r="O131" i="1"/>
  <c r="K132" i="1" s="1"/>
  <c r="O132" i="1" s="1"/>
  <c r="M132" i="1" l="1"/>
  <c r="P132" i="1"/>
  <c r="K133" i="1" s="1"/>
  <c r="P133" i="1" s="1"/>
  <c r="L132" i="1"/>
  <c r="N132" i="1"/>
  <c r="M133" i="1" l="1"/>
  <c r="L133" i="1"/>
  <c r="O133" i="1"/>
  <c r="N133" i="1"/>
  <c r="K134" i="1"/>
  <c r="P134" i="1" l="1"/>
  <c r="K135" i="1" s="1"/>
  <c r="M134" i="1"/>
  <c r="L134" i="1"/>
  <c r="O134" i="1"/>
  <c r="N134" i="1" l="1"/>
  <c r="L135" i="1"/>
  <c r="O135" i="1"/>
  <c r="M135" i="1"/>
  <c r="P135" i="1"/>
  <c r="K136" i="1" l="1"/>
  <c r="N135" i="1"/>
  <c r="L136" i="1" l="1"/>
  <c r="O136" i="1"/>
  <c r="P136" i="1"/>
  <c r="K137" i="1" s="1"/>
  <c r="M136" i="1"/>
  <c r="M137" i="1" l="1"/>
  <c r="L137" i="1"/>
  <c r="P137" i="1"/>
  <c r="O137" i="1"/>
  <c r="N136" i="1"/>
  <c r="K138" i="1" l="1"/>
  <c r="O138" i="1" s="1"/>
  <c r="N137" i="1"/>
  <c r="P138" i="1" l="1"/>
  <c r="K139" i="1" s="1"/>
  <c r="O139" i="1" s="1"/>
  <c r="L138" i="1"/>
  <c r="M138" i="1"/>
  <c r="L139" i="1" l="1"/>
  <c r="M139" i="1"/>
  <c r="P139" i="1"/>
  <c r="K140" i="1" s="1"/>
  <c r="L140" i="1" s="1"/>
  <c r="N138" i="1"/>
  <c r="N139" i="1" l="1"/>
  <c r="M140" i="1"/>
  <c r="N140" i="1" s="1"/>
  <c r="P140" i="1"/>
  <c r="O140" i="1"/>
  <c r="K141" i="1" l="1"/>
  <c r="P141" i="1" s="1"/>
  <c r="M141" i="1" l="1"/>
  <c r="O141" i="1"/>
  <c r="L141" i="1"/>
  <c r="K142" i="1"/>
  <c r="O142" i="1" s="1"/>
  <c r="N141" i="1"/>
  <c r="L142" i="1" l="1"/>
  <c r="M142" i="1"/>
  <c r="P142" i="1"/>
  <c r="K143" i="1" s="1"/>
  <c r="P143" i="1" s="1"/>
  <c r="N142" i="1" l="1"/>
  <c r="O143" i="1"/>
  <c r="K144" i="1" s="1"/>
  <c r="L144" i="1" s="1"/>
  <c r="M143" i="1"/>
  <c r="L143" i="1"/>
  <c r="M144" i="1" l="1"/>
  <c r="P144" i="1"/>
  <c r="N143" i="1"/>
  <c r="O144" i="1"/>
  <c r="N144" i="1"/>
  <c r="K145" i="1" l="1"/>
  <c r="O145" i="1" s="1"/>
  <c r="P145" i="1" l="1"/>
  <c r="K146" i="1" s="1"/>
  <c r="L146" i="1" s="1"/>
  <c r="L145" i="1"/>
  <c r="M145" i="1"/>
  <c r="P146" i="1" l="1"/>
  <c r="M146" i="1"/>
  <c r="N146" i="1" s="1"/>
  <c r="O146" i="1"/>
  <c r="N145" i="1"/>
  <c r="K147" i="1" l="1"/>
  <c r="M147" i="1" s="1"/>
  <c r="L147" i="1" l="1"/>
  <c r="N147" i="1" s="1"/>
  <c r="P147" i="1"/>
  <c r="O147" i="1"/>
  <c r="K148" i="1" l="1"/>
  <c r="L148" i="1" s="1"/>
  <c r="P148" i="1" l="1"/>
  <c r="M148" i="1"/>
  <c r="N148" i="1" s="1"/>
  <c r="O148" i="1"/>
  <c r="K149" i="1" l="1"/>
  <c r="P149" i="1" l="1"/>
  <c r="M149" i="1"/>
  <c r="O149" i="1"/>
  <c r="L149" i="1"/>
  <c r="N149" i="1" s="1"/>
  <c r="K150" i="1" l="1"/>
  <c r="L150" i="1" s="1"/>
  <c r="O150" i="1" l="1"/>
  <c r="M150" i="1"/>
  <c r="N150" i="1" s="1"/>
  <c r="P150" i="1"/>
  <c r="K151" i="1" l="1"/>
  <c r="M151" i="1" l="1"/>
  <c r="O151" i="1"/>
  <c r="L151" i="1"/>
  <c r="N151" i="1" s="1"/>
  <c r="P151" i="1"/>
  <c r="K152" i="1" s="1"/>
  <c r="L152" i="1" s="1"/>
  <c r="O152" i="1" l="1"/>
  <c r="P152" i="1"/>
  <c r="K153" i="1" s="1"/>
  <c r="L153" i="1" s="1"/>
  <c r="M152" i="1"/>
  <c r="N152" i="1"/>
  <c r="M153" i="1" l="1"/>
  <c r="N153" i="1" s="1"/>
  <c r="P153" i="1"/>
  <c r="O153" i="1"/>
  <c r="K154" i="1"/>
  <c r="P154" i="1" l="1"/>
  <c r="K155" i="1" s="1"/>
  <c r="M154" i="1"/>
  <c r="L154" i="1"/>
  <c r="O154" i="1"/>
  <c r="N154" i="1" l="1"/>
  <c r="P155" i="1"/>
  <c r="M155" i="1"/>
  <c r="O155" i="1"/>
  <c r="L155" i="1"/>
  <c r="N155" i="1" s="1"/>
  <c r="K156" i="1" l="1"/>
  <c r="M156" i="1" s="1"/>
  <c r="P156" i="1" l="1"/>
  <c r="L156" i="1"/>
  <c r="N156" i="1" s="1"/>
  <c r="O156" i="1"/>
  <c r="K157" i="1" l="1"/>
  <c r="P157" i="1" l="1"/>
  <c r="O157" i="1"/>
  <c r="L157" i="1"/>
  <c r="N157" i="1" s="1"/>
  <c r="M157" i="1"/>
  <c r="K158" i="1" l="1"/>
  <c r="O158" i="1" l="1"/>
  <c r="L158" i="1"/>
  <c r="P158" i="1"/>
  <c r="K159" i="1" s="1"/>
  <c r="M158" i="1"/>
  <c r="N158" i="1" s="1"/>
  <c r="L159" i="1" l="1"/>
  <c r="O159" i="1"/>
  <c r="M159" i="1"/>
  <c r="N159" i="1" s="1"/>
  <c r="P159" i="1"/>
  <c r="K160" i="1" s="1"/>
  <c r="O160" i="1" l="1"/>
  <c r="L160" i="1"/>
  <c r="P160" i="1"/>
  <c r="K161" i="1" s="1"/>
  <c r="M160" i="1"/>
  <c r="N160" i="1" s="1"/>
  <c r="P161" i="1" l="1"/>
  <c r="K162" i="1" s="1"/>
  <c r="L161" i="1"/>
  <c r="M161" i="1"/>
  <c r="N161" i="1" s="1"/>
  <c r="O161" i="1"/>
  <c r="P162" i="1" l="1"/>
  <c r="K163" i="1" s="1"/>
  <c r="M162" i="1"/>
  <c r="L162" i="1"/>
  <c r="N162" i="1" s="1"/>
  <c r="O162" i="1"/>
  <c r="O163" i="1" l="1"/>
  <c r="L163" i="1"/>
  <c r="M163" i="1"/>
  <c r="P163" i="1"/>
  <c r="K164" i="1" s="1"/>
  <c r="M164" i="1" l="1"/>
  <c r="N164" i="1" s="1"/>
  <c r="P164" i="1"/>
  <c r="K165" i="1" s="1"/>
  <c r="M165" i="1" s="1"/>
  <c r="O164" i="1"/>
  <c r="L164" i="1"/>
  <c r="N163" i="1"/>
  <c r="L165" i="1"/>
  <c r="N165" i="1" l="1"/>
  <c r="P165" i="1"/>
  <c r="O165" i="1"/>
  <c r="K166" i="1" s="1"/>
  <c r="O166" i="1" s="1"/>
  <c r="M166" i="1" l="1"/>
  <c r="P166" i="1"/>
  <c r="K167" i="1" s="1"/>
  <c r="O167" i="1" s="1"/>
  <c r="L166" i="1"/>
  <c r="N166" i="1" s="1"/>
  <c r="P167" i="1" l="1"/>
  <c r="M167" i="1"/>
  <c r="K168" i="1"/>
  <c r="O168" i="1" s="1"/>
  <c r="L167" i="1"/>
  <c r="N167" i="1" s="1"/>
  <c r="P168" i="1" l="1"/>
  <c r="L168" i="1"/>
  <c r="M168" i="1"/>
  <c r="N168" i="1"/>
  <c r="K169" i="1"/>
  <c r="P169" i="1" l="1"/>
  <c r="O169" i="1"/>
  <c r="M169" i="1"/>
  <c r="L169" i="1"/>
  <c r="N169" i="1" l="1"/>
  <c r="K170" i="1"/>
  <c r="M170" i="1" s="1"/>
  <c r="L170" i="1" l="1"/>
  <c r="N170" i="1" s="1"/>
  <c r="P170" i="1"/>
  <c r="O170" i="1"/>
  <c r="K171" i="1" l="1"/>
  <c r="P171" i="1" s="1"/>
  <c r="L171" i="1" l="1"/>
  <c r="M171" i="1"/>
  <c r="O171" i="1"/>
  <c r="K172" i="1" s="1"/>
  <c r="O172" i="1" l="1"/>
  <c r="P172" i="1"/>
  <c r="M172" i="1"/>
  <c r="L172" i="1"/>
  <c r="N171" i="1"/>
  <c r="K173" i="1"/>
  <c r="N172" i="1"/>
  <c r="M173" i="1" l="1"/>
  <c r="P173" i="1"/>
  <c r="L173" i="1"/>
  <c r="O173" i="1"/>
  <c r="N173" i="1" l="1"/>
  <c r="K174" i="1"/>
  <c r="L174" i="1" s="1"/>
  <c r="M174" i="1" l="1"/>
  <c r="O174" i="1"/>
  <c r="P174" i="1"/>
  <c r="K175" i="1" s="1"/>
  <c r="N174" i="1"/>
  <c r="L175" i="1" l="1"/>
  <c r="O175" i="1"/>
  <c r="M175" i="1"/>
  <c r="N175" i="1" s="1"/>
  <c r="P175" i="1"/>
  <c r="K176" i="1" l="1"/>
  <c r="P176" i="1" s="1"/>
  <c r="M176" i="1"/>
  <c r="L176" i="1"/>
  <c r="O176" i="1"/>
  <c r="N176" i="1" l="1"/>
  <c r="K177" i="1"/>
  <c r="M177" i="1" l="1"/>
  <c r="O177" i="1"/>
  <c r="P177" i="1"/>
  <c r="K178" i="1" s="1"/>
  <c r="L177" i="1"/>
  <c r="N177" i="1" l="1"/>
  <c r="M178" i="1"/>
  <c r="O178" i="1"/>
  <c r="P178" i="1"/>
  <c r="L178" i="1"/>
  <c r="N178" i="1" s="1"/>
  <c r="K179" i="1" l="1"/>
  <c r="P179" i="1" s="1"/>
  <c r="M179" i="1" l="1"/>
  <c r="L179" i="1"/>
  <c r="O179" i="1"/>
  <c r="K180" i="1"/>
  <c r="N179" i="1" l="1"/>
  <c r="P180" i="1"/>
  <c r="L180" i="1"/>
  <c r="M180" i="1"/>
  <c r="O180" i="1"/>
  <c r="K181" i="1" s="1"/>
  <c r="N180" i="1" l="1"/>
  <c r="M181" i="1"/>
  <c r="P181" i="1"/>
  <c r="O181" i="1"/>
  <c r="L181" i="1"/>
  <c r="N181" i="1" s="1"/>
  <c r="K182" i="1" l="1"/>
  <c r="L182" i="1" l="1"/>
  <c r="P182" i="1"/>
  <c r="M182" i="1"/>
  <c r="O182" i="1"/>
  <c r="N182" i="1" l="1"/>
  <c r="K183" i="1"/>
  <c r="M183" i="1" l="1"/>
  <c r="P183" i="1"/>
  <c r="L183" i="1"/>
  <c r="N183" i="1" s="1"/>
  <c r="O183" i="1"/>
  <c r="K184" i="1" l="1"/>
  <c r="O184" i="1" s="1"/>
  <c r="P184" i="1" l="1"/>
  <c r="K185" i="1" s="1"/>
  <c r="O185" i="1" s="1"/>
  <c r="M184" i="1"/>
  <c r="L184" i="1"/>
  <c r="N184" i="1" l="1"/>
  <c r="M185" i="1"/>
  <c r="L185" i="1"/>
  <c r="N185" i="1" s="1"/>
  <c r="P185" i="1"/>
  <c r="K186" i="1" s="1"/>
  <c r="M186" i="1" s="1"/>
  <c r="P186" i="1" l="1"/>
  <c r="L186" i="1"/>
  <c r="N186" i="1" s="1"/>
  <c r="O186" i="1"/>
  <c r="K187" i="1" l="1"/>
  <c r="L187" i="1" l="1"/>
  <c r="M187" i="1"/>
  <c r="N187" i="1" s="1"/>
  <c r="O187" i="1"/>
  <c r="P187" i="1"/>
  <c r="K188" i="1" l="1"/>
  <c r="M188" i="1" s="1"/>
  <c r="O188" i="1" l="1"/>
  <c r="P188" i="1"/>
  <c r="K189" i="1" s="1"/>
  <c r="P189" i="1" s="1"/>
  <c r="L188" i="1"/>
  <c r="N188" i="1" s="1"/>
  <c r="M189" i="1" l="1"/>
  <c r="L189" i="1"/>
  <c r="O189" i="1"/>
  <c r="N189" i="1"/>
  <c r="K190" i="1"/>
  <c r="O190" i="1" l="1"/>
  <c r="M190" i="1"/>
  <c r="L190" i="1"/>
  <c r="P190" i="1"/>
  <c r="K191" i="1" s="1"/>
  <c r="N190" i="1" l="1"/>
  <c r="P191" i="1"/>
  <c r="L191" i="1"/>
  <c r="M191" i="1"/>
  <c r="O191" i="1"/>
  <c r="N191" i="1" l="1"/>
  <c r="K192" i="1"/>
  <c r="P192" i="1" l="1"/>
  <c r="O192" i="1"/>
  <c r="L192" i="1"/>
  <c r="M192" i="1"/>
  <c r="N192" i="1" l="1"/>
  <c r="K193" i="1"/>
  <c r="O193" i="1" l="1"/>
  <c r="M193" i="1"/>
  <c r="L193" i="1"/>
  <c r="N193" i="1" s="1"/>
  <c r="P193" i="1"/>
  <c r="K194" i="1" s="1"/>
  <c r="L194" i="1" l="1"/>
  <c r="O194" i="1"/>
  <c r="P194" i="1"/>
  <c r="K195" i="1" s="1"/>
  <c r="M194" i="1"/>
  <c r="O195" i="1" l="1"/>
  <c r="P195" i="1"/>
  <c r="M195" i="1"/>
  <c r="L195" i="1"/>
  <c r="N194" i="1"/>
  <c r="N195" i="1" l="1"/>
  <c r="K196" i="1"/>
  <c r="P196" i="1" s="1"/>
  <c r="O196" i="1"/>
  <c r="L196" i="1"/>
  <c r="N196" i="1" s="1"/>
  <c r="M196" i="1"/>
  <c r="K197" i="1" l="1"/>
  <c r="P197" i="1" s="1"/>
  <c r="M197" i="1" l="1"/>
  <c r="L197" i="1"/>
  <c r="O197" i="1"/>
  <c r="K198" i="1"/>
  <c r="M198" i="1" s="1"/>
  <c r="N197" i="1"/>
  <c r="P198" i="1" l="1"/>
  <c r="K199" i="1" s="1"/>
  <c r="P199" i="1" s="1"/>
  <c r="L198" i="1"/>
  <c r="O198" i="1"/>
  <c r="N198" i="1"/>
  <c r="L199" i="1" l="1"/>
  <c r="O199" i="1"/>
  <c r="M199" i="1"/>
  <c r="N199" i="1" s="1"/>
  <c r="K200" i="1"/>
  <c r="L200" i="1" l="1"/>
  <c r="P200" i="1"/>
  <c r="O200" i="1"/>
  <c r="M200" i="1"/>
  <c r="K201" i="1" l="1"/>
  <c r="O201" i="1" s="1"/>
  <c r="N200" i="1"/>
  <c r="M201" i="1" l="1"/>
  <c r="N201" i="1" s="1"/>
  <c r="L201" i="1"/>
  <c r="P201" i="1"/>
  <c r="K202" i="1" s="1"/>
  <c r="M202" i="1" s="1"/>
  <c r="O202" i="1" l="1"/>
  <c r="P202" i="1"/>
  <c r="K203" i="1" s="1"/>
  <c r="M203" i="1" s="1"/>
  <c r="L202" i="1"/>
  <c r="N202" i="1"/>
  <c r="L203" i="1" l="1"/>
  <c r="N203" i="1" s="1"/>
  <c r="O203" i="1"/>
  <c r="P203" i="1"/>
  <c r="K204" i="1"/>
  <c r="P204" i="1" s="1"/>
  <c r="L204" i="1" l="1"/>
  <c r="M204" i="1"/>
  <c r="N204" i="1" s="1"/>
  <c r="O204" i="1"/>
  <c r="K205" i="1" s="1"/>
  <c r="O205" i="1" s="1"/>
  <c r="L205" i="1" l="1"/>
  <c r="P205" i="1"/>
  <c r="K206" i="1" s="1"/>
  <c r="M205" i="1"/>
  <c r="N205" i="1" l="1"/>
  <c r="L206" i="1"/>
  <c r="P206" i="1"/>
  <c r="M206" i="1"/>
  <c r="N206" i="1" s="1"/>
  <c r="O206" i="1"/>
  <c r="K207" i="1" l="1"/>
  <c r="P207" i="1" s="1"/>
  <c r="O207" i="1" l="1"/>
  <c r="K208" i="1" s="1"/>
  <c r="O208" i="1" s="1"/>
  <c r="M207" i="1"/>
  <c r="L207" i="1"/>
  <c r="N207" i="1" s="1"/>
  <c r="L208" i="1" l="1"/>
  <c r="P208" i="1"/>
  <c r="K209" i="1" s="1"/>
  <c r="P209" i="1" s="1"/>
  <c r="M208" i="1"/>
  <c r="N208" i="1" l="1"/>
  <c r="O209" i="1"/>
  <c r="K210" i="1" s="1"/>
  <c r="P210" i="1" s="1"/>
  <c r="L209" i="1"/>
  <c r="M209" i="1"/>
  <c r="M210" i="1" l="1"/>
  <c r="N209" i="1"/>
  <c r="L210" i="1"/>
  <c r="O210" i="1"/>
  <c r="K211" i="1" s="1"/>
  <c r="L211" i="1" l="1"/>
  <c r="M211" i="1"/>
  <c r="O211" i="1"/>
  <c r="P211" i="1"/>
  <c r="K212" i="1" s="1"/>
  <c r="N210" i="1"/>
  <c r="N211" i="1" l="1"/>
  <c r="L212" i="1"/>
  <c r="P212" i="1"/>
  <c r="K213" i="1" s="1"/>
  <c r="O212" i="1"/>
  <c r="M212" i="1"/>
  <c r="P213" i="1" l="1"/>
  <c r="L213" i="1"/>
  <c r="O213" i="1"/>
  <c r="M213" i="1"/>
  <c r="N212" i="1"/>
  <c r="K214" i="1" l="1"/>
  <c r="P214" i="1" s="1"/>
  <c r="N213" i="1"/>
  <c r="O214" i="1" l="1"/>
  <c r="K215" i="1" s="1"/>
  <c r="M214" i="1"/>
  <c r="L214" i="1"/>
  <c r="N214" i="1" s="1"/>
  <c r="L215" i="1" l="1"/>
  <c r="M215" i="1"/>
  <c r="O215" i="1"/>
  <c r="P215" i="1"/>
  <c r="K216" i="1" s="1"/>
  <c r="N215" i="1" l="1"/>
  <c r="M216" i="1"/>
  <c r="P216" i="1"/>
  <c r="O216" i="1"/>
  <c r="L216" i="1"/>
  <c r="N216" i="1" s="1"/>
  <c r="K217" i="1" l="1"/>
  <c r="P217" i="1" s="1"/>
  <c r="L217" i="1" l="1"/>
  <c r="O217" i="1"/>
  <c r="K218" i="1" s="1"/>
  <c r="M217" i="1"/>
  <c r="N217" i="1" s="1"/>
  <c r="P218" i="1" l="1"/>
  <c r="K219" i="1" s="1"/>
  <c r="M219" i="1" s="1"/>
  <c r="L218" i="1"/>
  <c r="O218" i="1"/>
  <c r="M218" i="1"/>
  <c r="L219" i="1"/>
  <c r="O219" i="1"/>
  <c r="P219" i="1" l="1"/>
  <c r="N219" i="1"/>
  <c r="N218" i="1"/>
  <c r="K220" i="1"/>
  <c r="P220" i="1" l="1"/>
  <c r="M220" i="1"/>
  <c r="L220" i="1"/>
  <c r="O220" i="1"/>
  <c r="N220" i="1" l="1"/>
  <c r="K221" i="1"/>
  <c r="M221" i="1" s="1"/>
  <c r="P221" i="1" l="1"/>
  <c r="K222" i="1" s="1"/>
  <c r="L221" i="1"/>
  <c r="N221" i="1" s="1"/>
  <c r="O221" i="1"/>
  <c r="P222" i="1" l="1"/>
  <c r="K223" i="1" s="1"/>
  <c r="O222" i="1"/>
  <c r="L222" i="1"/>
  <c r="M222" i="1"/>
  <c r="N222" i="1" l="1"/>
  <c r="O223" i="1"/>
  <c r="P223" i="1"/>
  <c r="K224" i="1" s="1"/>
  <c r="L223" i="1"/>
  <c r="M223" i="1"/>
  <c r="N223" i="1" l="1"/>
  <c r="L224" i="1"/>
  <c r="P224" i="1"/>
  <c r="M224" i="1"/>
  <c r="O224" i="1"/>
  <c r="K225" i="1" l="1"/>
  <c r="M225" i="1" s="1"/>
  <c r="N224" i="1"/>
  <c r="P225" i="1" l="1"/>
  <c r="K226" i="1" s="1"/>
  <c r="M226" i="1" s="1"/>
  <c r="L225" i="1"/>
  <c r="N225" i="1" s="1"/>
  <c r="O225" i="1"/>
  <c r="L226" i="1" l="1"/>
  <c r="N226" i="1" s="1"/>
  <c r="P226" i="1"/>
  <c r="O226" i="1"/>
  <c r="K227" i="1"/>
  <c r="M227" i="1" s="1"/>
  <c r="P227" i="1" l="1"/>
  <c r="K228" i="1" s="1"/>
  <c r="O228" i="1" s="1"/>
  <c r="O227" i="1"/>
  <c r="L227" i="1"/>
  <c r="N227" i="1" s="1"/>
  <c r="L228" i="1" l="1"/>
  <c r="M228" i="1"/>
  <c r="P228" i="1"/>
  <c r="K229" i="1" s="1"/>
  <c r="L229" i="1" s="1"/>
  <c r="O229" i="1" l="1"/>
  <c r="P229" i="1"/>
  <c r="K230" i="1" s="1"/>
  <c r="M229" i="1"/>
  <c r="N229" i="1" s="1"/>
  <c r="N228" i="1"/>
  <c r="P230" i="1" l="1"/>
  <c r="L230" i="1"/>
  <c r="M230" i="1"/>
  <c r="O230" i="1"/>
  <c r="K231" i="1" l="1"/>
  <c r="M231" i="1" s="1"/>
  <c r="N230" i="1"/>
  <c r="L231" i="1" l="1"/>
  <c r="N231" i="1" s="1"/>
  <c r="O231" i="1"/>
  <c r="P231" i="1"/>
  <c r="K232" i="1" l="1"/>
  <c r="L232" i="1" s="1"/>
  <c r="O232" i="1" l="1"/>
  <c r="P232" i="1"/>
  <c r="K233" i="1" s="1"/>
  <c r="P233" i="1" s="1"/>
  <c r="M232" i="1"/>
  <c r="N232" i="1" s="1"/>
  <c r="M233" i="1" l="1"/>
  <c r="O233" i="1"/>
  <c r="K234" i="1" s="1"/>
  <c r="L233" i="1"/>
  <c r="N233" i="1" s="1"/>
  <c r="O234" i="1" l="1"/>
  <c r="P234" i="1"/>
  <c r="K235" i="1" s="1"/>
  <c r="L235" i="1" s="1"/>
  <c r="L234" i="1"/>
  <c r="M234" i="1"/>
  <c r="N234" i="1" l="1"/>
  <c r="O235" i="1"/>
  <c r="P235" i="1"/>
  <c r="K236" i="1" s="1"/>
  <c r="M235" i="1"/>
  <c r="N235" i="1" s="1"/>
  <c r="M236" i="1" l="1"/>
  <c r="P236" i="1"/>
  <c r="K237" i="1" s="1"/>
  <c r="O236" i="1"/>
  <c r="L236" i="1"/>
  <c r="N236" i="1" s="1"/>
  <c r="L237" i="1" l="1"/>
  <c r="M237" i="1"/>
  <c r="P237" i="1"/>
  <c r="O237" i="1"/>
  <c r="K238" i="1" l="1"/>
  <c r="P238" i="1" s="1"/>
  <c r="N237" i="1"/>
  <c r="L238" i="1" l="1"/>
  <c r="M238" i="1"/>
  <c r="O238" i="1"/>
  <c r="K239" i="1" s="1"/>
  <c r="O239" i="1" s="1"/>
  <c r="N238" i="1" l="1"/>
  <c r="P239" i="1"/>
  <c r="K240" i="1" s="1"/>
  <c r="L240" i="1" s="1"/>
  <c r="L239" i="1"/>
  <c r="M239" i="1"/>
  <c r="N239" i="1" s="1"/>
  <c r="O240" i="1" l="1"/>
  <c r="M240" i="1"/>
  <c r="N240" i="1" s="1"/>
  <c r="P240" i="1"/>
  <c r="K241" i="1" s="1"/>
  <c r="L241" i="1" l="1"/>
  <c r="M241" i="1"/>
  <c r="O241" i="1"/>
  <c r="P241" i="1"/>
  <c r="K242" i="1" s="1"/>
  <c r="M242" i="1" l="1"/>
  <c r="P242" i="1"/>
  <c r="O242" i="1"/>
  <c r="L242" i="1"/>
  <c r="N241" i="1"/>
  <c r="K243" i="1" l="1"/>
  <c r="M243" i="1" s="1"/>
  <c r="N242" i="1"/>
  <c r="L243" i="1" l="1"/>
  <c r="N243" i="1" s="1"/>
  <c r="O243" i="1"/>
  <c r="P243" i="1"/>
  <c r="K244" i="1" l="1"/>
  <c r="L244" i="1" s="1"/>
  <c r="P244" i="1" l="1"/>
  <c r="O244" i="1"/>
  <c r="M244" i="1"/>
  <c r="N244" i="1" s="1"/>
  <c r="K245" i="1" l="1"/>
  <c r="L245" i="1" s="1"/>
  <c r="P245" i="1"/>
  <c r="K246" i="1" s="1"/>
  <c r="O245" i="1" l="1"/>
  <c r="M245" i="1"/>
  <c r="N245" i="1" s="1"/>
  <c r="L246" i="1"/>
  <c r="O246" i="1"/>
  <c r="P246" i="1"/>
  <c r="M246" i="1"/>
  <c r="K247" i="1" l="1"/>
  <c r="O247" i="1" s="1"/>
  <c r="N246" i="1"/>
  <c r="M247" i="1" l="1"/>
  <c r="L247" i="1"/>
  <c r="P247" i="1"/>
  <c r="K248" i="1" s="1"/>
  <c r="P248" i="1" s="1"/>
  <c r="N247" i="1"/>
  <c r="L248" i="1" l="1"/>
  <c r="O248" i="1"/>
  <c r="K249" i="1" s="1"/>
  <c r="M249" i="1" s="1"/>
  <c r="M248" i="1"/>
  <c r="O249" i="1" l="1"/>
  <c r="L249" i="1"/>
  <c r="N249" i="1" s="1"/>
  <c r="P249" i="1"/>
  <c r="K250" i="1" s="1"/>
  <c r="N248" i="1"/>
  <c r="O250" i="1" l="1"/>
  <c r="M250" i="1"/>
  <c r="P250" i="1"/>
  <c r="K251" i="1" s="1"/>
  <c r="L251" i="1" s="1"/>
  <c r="L250" i="1"/>
  <c r="O251" i="1" l="1"/>
  <c r="N250" i="1"/>
  <c r="P251" i="1"/>
  <c r="K252" i="1" s="1"/>
  <c r="O252" i="1" s="1"/>
  <c r="M251" i="1"/>
  <c r="N251" i="1"/>
  <c r="M252" i="1" l="1"/>
  <c r="L252" i="1"/>
  <c r="P252" i="1"/>
  <c r="K253" i="1" s="1"/>
  <c r="N252" i="1" l="1"/>
  <c r="M253" i="1"/>
  <c r="O253" i="1"/>
  <c r="P253" i="1"/>
  <c r="L253" i="1"/>
  <c r="N253" i="1" s="1"/>
  <c r="K254" i="1" l="1"/>
  <c r="M254" i="1" l="1"/>
  <c r="L254" i="1"/>
  <c r="P254" i="1"/>
  <c r="O254" i="1"/>
  <c r="N254" i="1" l="1"/>
  <c r="K255" i="1"/>
  <c r="O255" i="1" s="1"/>
  <c r="L255" i="1" l="1"/>
  <c r="M255" i="1"/>
  <c r="P255" i="1"/>
  <c r="K256" i="1" s="1"/>
  <c r="M256" i="1" s="1"/>
  <c r="N255" i="1" l="1"/>
  <c r="P256" i="1"/>
  <c r="L256" i="1"/>
  <c r="N256" i="1" s="1"/>
  <c r="O256" i="1"/>
  <c r="K257" i="1" s="1"/>
  <c r="M257" i="1" l="1"/>
  <c r="L257" i="1"/>
  <c r="P257" i="1"/>
  <c r="O257" i="1"/>
  <c r="N257" i="1" l="1"/>
  <c r="K258" i="1"/>
  <c r="L258" i="1" l="1"/>
  <c r="O258" i="1"/>
  <c r="P258" i="1"/>
  <c r="K259" i="1" s="1"/>
  <c r="M258" i="1"/>
  <c r="P259" i="1" l="1"/>
  <c r="M259" i="1"/>
  <c r="O259" i="1"/>
  <c r="L259" i="1"/>
  <c r="N258" i="1"/>
  <c r="N259" i="1" l="1"/>
  <c r="K260" i="1"/>
  <c r="O260" i="1" l="1"/>
  <c r="P260" i="1"/>
  <c r="M260" i="1"/>
  <c r="L260" i="1"/>
  <c r="K261" i="1" l="1"/>
  <c r="P261" i="1" s="1"/>
  <c r="K262" i="1" s="1"/>
  <c r="N260" i="1"/>
  <c r="L261" i="1" l="1"/>
  <c r="O261" i="1"/>
  <c r="M261" i="1"/>
  <c r="O262" i="1"/>
  <c r="P262" i="1"/>
  <c r="L262" i="1"/>
  <c r="M262" i="1"/>
  <c r="N261" i="1"/>
  <c r="K263" i="1" l="1"/>
  <c r="P263" i="1" s="1"/>
  <c r="N262" i="1"/>
  <c r="M263" i="1" l="1"/>
  <c r="O263" i="1"/>
  <c r="K264" i="1" s="1"/>
  <c r="L263" i="1"/>
  <c r="N263" i="1"/>
  <c r="P264" i="1" l="1"/>
  <c r="M264" i="1"/>
  <c r="L264" i="1"/>
  <c r="O264" i="1"/>
  <c r="K265" i="1"/>
  <c r="L265" i="1" s="1"/>
  <c r="N264" i="1"/>
  <c r="O265" i="1" l="1"/>
  <c r="P265" i="1"/>
  <c r="K266" i="1" s="1"/>
  <c r="M266" i="1" s="1"/>
  <c r="M265" i="1"/>
  <c r="N265" i="1" s="1"/>
  <c r="L266" i="1" l="1"/>
  <c r="N266" i="1" s="1"/>
  <c r="P266" i="1"/>
  <c r="O266" i="1"/>
  <c r="K267" i="1" l="1"/>
  <c r="M267" i="1" l="1"/>
  <c r="O267" i="1"/>
  <c r="P267" i="1"/>
  <c r="L267" i="1"/>
  <c r="N267" i="1" s="1"/>
  <c r="K268" i="1" l="1"/>
  <c r="O268" i="1" s="1"/>
  <c r="L268" i="1" l="1"/>
  <c r="M268" i="1"/>
  <c r="P268" i="1"/>
  <c r="K269" i="1" s="1"/>
  <c r="P269" i="1" s="1"/>
  <c r="N268" i="1" l="1"/>
  <c r="L269" i="1"/>
  <c r="O269" i="1"/>
  <c r="K270" i="1" s="1"/>
  <c r="P270" i="1" s="1"/>
  <c r="K271" i="1" s="1"/>
  <c r="M269" i="1"/>
  <c r="N269" i="1" s="1"/>
  <c r="L270" i="1" l="1"/>
  <c r="M270" i="1"/>
  <c r="O270" i="1"/>
  <c r="P271" i="1"/>
  <c r="L271" i="1"/>
  <c r="M271" i="1"/>
  <c r="N270" i="1"/>
  <c r="O271" i="1"/>
  <c r="K272" i="1" s="1"/>
  <c r="N271" i="1" l="1"/>
  <c r="M272" i="1"/>
  <c r="P272" i="1"/>
  <c r="O272" i="1"/>
  <c r="L272" i="1"/>
  <c r="K273" i="1" l="1"/>
  <c r="P273" i="1" s="1"/>
  <c r="N272" i="1"/>
  <c r="M273" i="1" l="1"/>
  <c r="L273" i="1"/>
  <c r="N273" i="1" s="1"/>
  <c r="O273" i="1"/>
  <c r="K274" i="1" s="1"/>
  <c r="M274" i="1" l="1"/>
  <c r="O274" i="1"/>
  <c r="L274" i="1"/>
  <c r="P274" i="1"/>
  <c r="K275" i="1" l="1"/>
  <c r="P275" i="1" s="1"/>
  <c r="N274" i="1"/>
  <c r="L275" i="1" l="1"/>
  <c r="O275" i="1"/>
  <c r="M275" i="1"/>
  <c r="K276" i="1"/>
  <c r="N275" i="1" l="1"/>
  <c r="L276" i="1"/>
  <c r="O276" i="1"/>
  <c r="M276" i="1"/>
  <c r="P276" i="1"/>
  <c r="K277" i="1" s="1"/>
  <c r="N276" i="1" l="1"/>
  <c r="L277" i="1"/>
  <c r="M277" i="1"/>
  <c r="O277" i="1"/>
  <c r="P277" i="1"/>
  <c r="K278" i="1" l="1"/>
  <c r="L278" i="1" s="1"/>
  <c r="N277" i="1"/>
  <c r="P278" i="1" l="1"/>
  <c r="M278" i="1"/>
  <c r="N278" i="1" s="1"/>
  <c r="O278" i="1"/>
  <c r="K279" i="1" l="1"/>
  <c r="M279" i="1" s="1"/>
  <c r="L279" i="1" l="1"/>
  <c r="N279" i="1" s="1"/>
  <c r="P279" i="1"/>
  <c r="O279" i="1"/>
  <c r="K280" i="1" l="1"/>
  <c r="O280" i="1" l="1"/>
  <c r="M280" i="1"/>
  <c r="L280" i="1"/>
  <c r="P280" i="1"/>
  <c r="K281" i="1" s="1"/>
  <c r="N280" i="1" l="1"/>
  <c r="L281" i="1"/>
  <c r="P281" i="1"/>
  <c r="K282" i="1" s="1"/>
  <c r="O282" i="1" s="1"/>
  <c r="O281" i="1"/>
  <c r="M281" i="1"/>
  <c r="N281" i="1" s="1"/>
  <c r="P282" i="1" l="1"/>
  <c r="K283" i="1" s="1"/>
  <c r="M283" i="1" s="1"/>
  <c r="M282" i="1"/>
  <c r="L282" i="1"/>
  <c r="N282" i="1"/>
  <c r="P283" i="1" l="1"/>
  <c r="L283" i="1"/>
  <c r="N283" i="1" s="1"/>
  <c r="O283" i="1"/>
  <c r="K284" i="1"/>
  <c r="L284" i="1" l="1"/>
  <c r="P284" i="1"/>
  <c r="M284" i="1"/>
  <c r="O284" i="1"/>
  <c r="K285" i="1" l="1"/>
  <c r="M285" i="1" s="1"/>
  <c r="N284" i="1"/>
  <c r="L285" i="1" l="1"/>
  <c r="N285" i="1" s="1"/>
  <c r="O285" i="1"/>
  <c r="P285" i="1"/>
  <c r="K286" i="1" s="1"/>
  <c r="O286" i="1" l="1"/>
  <c r="M286" i="1"/>
  <c r="L286" i="1"/>
  <c r="P286" i="1"/>
  <c r="K287" i="1" s="1"/>
  <c r="M287" i="1" l="1"/>
  <c r="O287" i="1"/>
  <c r="P287" i="1"/>
  <c r="K288" i="1" s="1"/>
  <c r="L287" i="1"/>
  <c r="N287" i="1" s="1"/>
  <c r="N286" i="1"/>
  <c r="P288" i="1" l="1"/>
  <c r="M288" i="1"/>
  <c r="L288" i="1"/>
  <c r="O288" i="1"/>
  <c r="N288" i="1" l="1"/>
  <c r="K289" i="1"/>
  <c r="P289" i="1" l="1"/>
  <c r="L289" i="1"/>
  <c r="M289" i="1"/>
  <c r="O289" i="1"/>
  <c r="N289" i="1" l="1"/>
  <c r="K290" i="1"/>
  <c r="L290" i="1" l="1"/>
  <c r="O290" i="1"/>
  <c r="P290" i="1"/>
  <c r="K291" i="1" s="1"/>
  <c r="M290" i="1"/>
  <c r="N290" i="1" l="1"/>
  <c r="M291" i="1"/>
  <c r="P291" i="1"/>
  <c r="L291" i="1"/>
  <c r="N291" i="1" s="1"/>
  <c r="O291" i="1"/>
  <c r="K292" i="1" l="1"/>
  <c r="M292" i="1" l="1"/>
  <c r="O292" i="1"/>
  <c r="L292" i="1"/>
  <c r="P292" i="1"/>
  <c r="K293" i="1" l="1"/>
  <c r="O293" i="1" s="1"/>
  <c r="N292" i="1"/>
  <c r="P293" i="1" l="1"/>
  <c r="K294" i="1" s="1"/>
  <c r="L293" i="1"/>
  <c r="N293" i="1" s="1"/>
  <c r="M293" i="1"/>
  <c r="O294" i="1"/>
  <c r="L294" i="1"/>
  <c r="M294" i="1"/>
  <c r="P294" i="1"/>
  <c r="N294" i="1" l="1"/>
  <c r="K295" i="1"/>
  <c r="P295" i="1" s="1"/>
  <c r="L295" i="1" l="1"/>
  <c r="M295" i="1"/>
  <c r="O295" i="1"/>
  <c r="K296" i="1"/>
  <c r="N295" i="1" l="1"/>
  <c r="P296" i="1"/>
  <c r="O296" i="1"/>
  <c r="L296" i="1"/>
  <c r="M296" i="1"/>
  <c r="N296" i="1" l="1"/>
  <c r="K297" i="1"/>
  <c r="O297" i="1" l="1"/>
  <c r="M297" i="1"/>
  <c r="P297" i="1"/>
  <c r="K298" i="1" s="1"/>
  <c r="L297" i="1"/>
  <c r="N297" i="1" l="1"/>
  <c r="P298" i="1"/>
  <c r="L298" i="1"/>
  <c r="M298" i="1"/>
  <c r="O298" i="1"/>
  <c r="N298" i="1" l="1"/>
  <c r="K299" i="1"/>
  <c r="P299" i="1" l="1"/>
  <c r="O299" i="1"/>
  <c r="K300" i="1" s="1"/>
  <c r="L299" i="1"/>
  <c r="M299" i="1"/>
  <c r="L300" i="1" l="1"/>
  <c r="O300" i="1"/>
  <c r="P300" i="1"/>
  <c r="K301" i="1" s="1"/>
  <c r="M300" i="1"/>
  <c r="N299" i="1"/>
  <c r="O301" i="1" l="1"/>
  <c r="P301" i="1"/>
  <c r="K302" i="1" s="1"/>
  <c r="M301" i="1"/>
  <c r="L301" i="1"/>
  <c r="N300" i="1"/>
  <c r="N301" i="1" l="1"/>
  <c r="M302" i="1"/>
  <c r="P302" i="1"/>
  <c r="O302" i="1"/>
  <c r="L302" i="1"/>
  <c r="N302" i="1" l="1"/>
  <c r="K303" i="1"/>
  <c r="L303" i="1" s="1"/>
  <c r="M303" i="1" l="1"/>
  <c r="P303" i="1"/>
  <c r="O303" i="1"/>
  <c r="N303" i="1"/>
  <c r="K304" i="1" l="1"/>
  <c r="O304" i="1" l="1"/>
  <c r="P304" i="1"/>
  <c r="K305" i="1" s="1"/>
  <c r="L304" i="1"/>
  <c r="M304" i="1"/>
  <c r="N304" i="1" l="1"/>
  <c r="P305" i="1"/>
  <c r="O305" i="1"/>
  <c r="K306" i="1" s="1"/>
  <c r="L305" i="1"/>
  <c r="M305" i="1"/>
  <c r="M306" i="1" l="1"/>
  <c r="O306" i="1"/>
  <c r="L306" i="1"/>
  <c r="P306" i="1"/>
  <c r="K307" i="1" s="1"/>
  <c r="N305" i="1"/>
  <c r="N306" i="1" l="1"/>
  <c r="L307" i="1"/>
  <c r="P307" i="1"/>
  <c r="M307" i="1"/>
  <c r="O307" i="1"/>
  <c r="K308" i="1" l="1"/>
  <c r="N307" i="1"/>
  <c r="P308" i="1" l="1"/>
  <c r="O308" i="1"/>
  <c r="M308" i="1"/>
  <c r="L308" i="1"/>
  <c r="N308" i="1" l="1"/>
  <c r="K309" i="1"/>
  <c r="L309" i="1" l="1"/>
  <c r="M309" i="1"/>
  <c r="O309" i="1"/>
  <c r="P309" i="1"/>
  <c r="N309" i="1" l="1"/>
  <c r="K310" i="1"/>
  <c r="L310" i="1" s="1"/>
  <c r="O310" i="1" l="1"/>
  <c r="P310" i="1"/>
  <c r="K311" i="1" s="1"/>
  <c r="P311" i="1" s="1"/>
  <c r="M310" i="1"/>
  <c r="N310" i="1" s="1"/>
  <c r="M311" i="1" l="1"/>
  <c r="O311" i="1"/>
  <c r="K312" i="1" s="1"/>
  <c r="L311" i="1"/>
  <c r="N311" i="1" s="1"/>
  <c r="P312" i="1" l="1"/>
  <c r="L312" i="1"/>
  <c r="O312" i="1"/>
  <c r="M312" i="1"/>
  <c r="K313" i="1"/>
  <c r="N312" i="1" l="1"/>
  <c r="O313" i="1"/>
  <c r="L313" i="1"/>
  <c r="P313" i="1"/>
  <c r="K314" i="1" s="1"/>
  <c r="M313" i="1"/>
  <c r="L314" i="1" l="1"/>
  <c r="M314" i="1"/>
  <c r="O314" i="1"/>
  <c r="P314" i="1"/>
  <c r="K315" i="1" s="1"/>
  <c r="N313" i="1"/>
  <c r="P315" i="1" l="1"/>
  <c r="M315" i="1"/>
  <c r="L315" i="1"/>
  <c r="O315" i="1"/>
  <c r="N314" i="1"/>
  <c r="K316" i="1" l="1"/>
  <c r="P316" i="1" s="1"/>
  <c r="N315" i="1"/>
  <c r="L316" i="1"/>
  <c r="M316" i="1"/>
  <c r="O316" i="1" l="1"/>
  <c r="K317" i="1" s="1"/>
  <c r="P317" i="1" s="1"/>
  <c r="N316" i="1"/>
  <c r="O317" i="1" l="1"/>
  <c r="K318" i="1" s="1"/>
  <c r="L317" i="1"/>
  <c r="M317" i="1"/>
  <c r="P318" i="1" l="1"/>
  <c r="L318" i="1"/>
  <c r="M318" i="1"/>
  <c r="O318" i="1"/>
  <c r="N317" i="1"/>
  <c r="N318" i="1" l="1"/>
  <c r="K319" i="1"/>
  <c r="P319" i="1" l="1"/>
  <c r="L319" i="1"/>
  <c r="O319" i="1"/>
  <c r="K320" i="1" s="1"/>
  <c r="M319" i="1"/>
  <c r="L320" i="1" l="1"/>
  <c r="O320" i="1"/>
  <c r="M320" i="1"/>
  <c r="P320" i="1"/>
  <c r="K321" i="1" s="1"/>
  <c r="N319" i="1"/>
  <c r="P321" i="1" l="1"/>
  <c r="O321" i="1"/>
  <c r="M321" i="1"/>
  <c r="L321" i="1"/>
  <c r="N320" i="1"/>
  <c r="N321" i="1" l="1"/>
  <c r="K322" i="1"/>
  <c r="L322" i="1" s="1"/>
  <c r="M322" i="1" l="1"/>
  <c r="N322" i="1" s="1"/>
  <c r="P322" i="1"/>
  <c r="K323" i="1" s="1"/>
  <c r="P323" i="1" s="1"/>
  <c r="O322" i="1"/>
  <c r="K324" i="1" l="1"/>
  <c r="M324" i="1" s="1"/>
  <c r="O323" i="1"/>
  <c r="L323" i="1"/>
  <c r="M323" i="1"/>
  <c r="P324" i="1"/>
  <c r="O324" i="1" l="1"/>
  <c r="L324" i="1"/>
  <c r="N323" i="1"/>
  <c r="N324" i="1"/>
  <c r="K325" i="1"/>
  <c r="M325" i="1" l="1"/>
  <c r="L325" i="1"/>
  <c r="O325" i="1"/>
  <c r="P325" i="1"/>
  <c r="K326" i="1" l="1"/>
  <c r="M326" i="1" s="1"/>
  <c r="N325" i="1"/>
  <c r="O326" i="1" l="1"/>
  <c r="L326" i="1"/>
  <c r="N326" i="1" s="1"/>
  <c r="P326" i="1"/>
  <c r="K327" i="1" s="1"/>
  <c r="O327" i="1" l="1"/>
  <c r="L327" i="1"/>
  <c r="M327" i="1"/>
  <c r="P327" i="1"/>
  <c r="K328" i="1" s="1"/>
  <c r="N327" i="1" l="1"/>
  <c r="L328" i="1"/>
  <c r="O328" i="1"/>
  <c r="M328" i="1"/>
  <c r="P328" i="1"/>
  <c r="K329" i="1" s="1"/>
  <c r="P329" i="1" l="1"/>
  <c r="L329" i="1"/>
  <c r="M329" i="1"/>
  <c r="O329" i="1"/>
  <c r="N328" i="1"/>
  <c r="N329" i="1" l="1"/>
  <c r="K330" i="1"/>
  <c r="O330" i="1" l="1"/>
  <c r="P330" i="1"/>
  <c r="M330" i="1"/>
  <c r="L330" i="1"/>
  <c r="N330" i="1" s="1"/>
  <c r="K331" i="1" l="1"/>
  <c r="L331" i="1" s="1"/>
  <c r="M331" i="1" l="1"/>
  <c r="P331" i="1"/>
  <c r="K332" i="1" s="1"/>
  <c r="L332" i="1" s="1"/>
  <c r="O331" i="1"/>
  <c r="N331" i="1"/>
  <c r="P332" i="1" l="1"/>
  <c r="M332" i="1"/>
  <c r="N332" i="1" s="1"/>
  <c r="O332" i="1"/>
  <c r="K333" i="1" l="1"/>
  <c r="P333" i="1" s="1"/>
  <c r="O333" i="1" l="1"/>
  <c r="M333" i="1"/>
  <c r="L333" i="1"/>
  <c r="K334" i="1"/>
  <c r="L334" i="1" s="1"/>
  <c r="N333" i="1" l="1"/>
  <c r="M334" i="1"/>
  <c r="N334" i="1" s="1"/>
  <c r="P334" i="1"/>
  <c r="K335" i="1" s="1"/>
  <c r="O335" i="1" s="1"/>
  <c r="O334" i="1"/>
  <c r="M335" i="1" l="1"/>
  <c r="P335" i="1"/>
  <c r="K336" i="1" s="1"/>
  <c r="O336" i="1" s="1"/>
  <c r="L335" i="1"/>
  <c r="N335" i="1" l="1"/>
  <c r="L336" i="1"/>
  <c r="P336" i="1"/>
  <c r="K337" i="1" s="1"/>
  <c r="P337" i="1" s="1"/>
  <c r="M336" i="1"/>
  <c r="N336" i="1" s="1"/>
  <c r="O337" i="1" l="1"/>
  <c r="K338" i="1" s="1"/>
  <c r="O338" i="1" s="1"/>
  <c r="M337" i="1"/>
  <c r="L337" i="1"/>
  <c r="N337" i="1" l="1"/>
  <c r="P338" i="1"/>
  <c r="K339" i="1" s="1"/>
  <c r="L339" i="1" s="1"/>
  <c r="L338" i="1"/>
  <c r="M338" i="1"/>
  <c r="N338" i="1" l="1"/>
  <c r="O339" i="1"/>
  <c r="P339" i="1"/>
  <c r="K340" i="1" s="1"/>
  <c r="M340" i="1" s="1"/>
  <c r="M339" i="1"/>
  <c r="N339" i="1" s="1"/>
  <c r="O340" i="1" l="1"/>
  <c r="L340" i="1"/>
  <c r="N340" i="1" s="1"/>
  <c r="P340" i="1"/>
  <c r="K341" i="1" s="1"/>
  <c r="O341" i="1" l="1"/>
  <c r="M341" i="1"/>
  <c r="P341" i="1"/>
  <c r="K342" i="1" s="1"/>
  <c r="L341" i="1"/>
  <c r="N341" i="1" l="1"/>
  <c r="P342" i="1"/>
  <c r="O342" i="1"/>
  <c r="M342" i="1"/>
  <c r="L342" i="1"/>
  <c r="N342" i="1" l="1"/>
  <c r="K343" i="1"/>
  <c r="M343" i="1" l="1"/>
  <c r="P343" i="1"/>
  <c r="O343" i="1"/>
  <c r="L343" i="1"/>
  <c r="N343" i="1" l="1"/>
  <c r="K344" i="1"/>
  <c r="P344" i="1" s="1"/>
  <c r="M344" i="1" l="1"/>
  <c r="L344" i="1"/>
  <c r="N344" i="1" s="1"/>
  <c r="O344" i="1"/>
  <c r="K345" i="1" s="1"/>
  <c r="O345" i="1" l="1"/>
  <c r="L345" i="1"/>
  <c r="P345" i="1"/>
  <c r="M345" i="1"/>
  <c r="K346" i="1" l="1"/>
  <c r="N345" i="1"/>
  <c r="O346" i="1" l="1"/>
  <c r="M346" i="1"/>
  <c r="P346" i="1"/>
  <c r="L346" i="1"/>
  <c r="N346" i="1" l="1"/>
  <c r="K347" i="1"/>
  <c r="O347" i="1" s="1"/>
  <c r="P347" i="1" l="1"/>
  <c r="K348" i="1" s="1"/>
  <c r="P348" i="1" s="1"/>
  <c r="L347" i="1"/>
  <c r="M347" i="1"/>
  <c r="N347" i="1" s="1"/>
  <c r="M348" i="1" l="1"/>
  <c r="L348" i="1"/>
  <c r="O348" i="1"/>
  <c r="K349" i="1"/>
  <c r="N348" i="1" l="1"/>
  <c r="L349" i="1"/>
  <c r="M349" i="1"/>
  <c r="P349" i="1"/>
  <c r="O349" i="1"/>
  <c r="K350" i="1" l="1"/>
  <c r="N349" i="1"/>
  <c r="L350" i="1" l="1"/>
  <c r="P350" i="1"/>
  <c r="O350" i="1"/>
  <c r="M350" i="1"/>
  <c r="K351" i="1" l="1"/>
  <c r="O351" i="1" s="1"/>
  <c r="N350" i="1"/>
  <c r="M351" i="1" l="1"/>
  <c r="P351" i="1"/>
  <c r="K352" i="1" s="1"/>
  <c r="O352" i="1" s="1"/>
  <c r="L351" i="1"/>
  <c r="N351" i="1" s="1"/>
  <c r="L352" i="1" l="1"/>
  <c r="M352" i="1"/>
  <c r="P352" i="1"/>
  <c r="K353" i="1" s="1"/>
  <c r="M353" i="1" s="1"/>
  <c r="N352" i="1" l="1"/>
  <c r="O353" i="1"/>
  <c r="L353" i="1"/>
  <c r="N353" i="1" s="1"/>
  <c r="P353" i="1"/>
  <c r="K354" i="1" l="1"/>
  <c r="P354" i="1" s="1"/>
  <c r="L354" i="1" l="1"/>
  <c r="O354" i="1"/>
  <c r="M354" i="1"/>
  <c r="N354" i="1"/>
  <c r="K355" i="1"/>
  <c r="P355" i="1" l="1"/>
  <c r="O355" i="1"/>
  <c r="M355" i="1"/>
  <c r="L355" i="1"/>
  <c r="N355" i="1" l="1"/>
  <c r="K356" i="1"/>
  <c r="P356" i="1" l="1"/>
  <c r="M356" i="1"/>
  <c r="O356" i="1"/>
  <c r="L356" i="1"/>
  <c r="N356" i="1" l="1"/>
  <c r="K357" i="1"/>
  <c r="P357" i="1" l="1"/>
  <c r="L357" i="1"/>
  <c r="O357" i="1"/>
  <c r="M357" i="1"/>
  <c r="N357" i="1" l="1"/>
  <c r="K358" i="1"/>
  <c r="P358" i="1" l="1"/>
  <c r="L358" i="1"/>
  <c r="M358" i="1"/>
  <c r="O358" i="1"/>
  <c r="K359" i="1" l="1"/>
  <c r="L359" i="1" s="1"/>
  <c r="N358" i="1"/>
  <c r="M359" i="1" l="1"/>
  <c r="N359" i="1" s="1"/>
  <c r="O359" i="1"/>
  <c r="P359" i="1"/>
  <c r="K360" i="1" s="1"/>
  <c r="O360" i="1" l="1"/>
  <c r="M360" i="1"/>
  <c r="P360" i="1"/>
  <c r="K361" i="1" s="1"/>
  <c r="L360" i="1"/>
  <c r="N360" i="1" s="1"/>
  <c r="L361" i="1" l="1"/>
  <c r="O361" i="1"/>
  <c r="P361" i="1"/>
  <c r="K362" i="1" s="1"/>
  <c r="M361" i="1"/>
  <c r="N361" i="1" s="1"/>
  <c r="M362" i="1" l="1"/>
  <c r="P362" i="1"/>
  <c r="L362" i="1"/>
  <c r="N362" i="1" s="1"/>
  <c r="O362" i="1"/>
  <c r="K363" i="1" l="1"/>
  <c r="O363" i="1" s="1"/>
  <c r="P363" i="1" l="1"/>
  <c r="K364" i="1" s="1"/>
  <c r="L364" i="1" s="1"/>
  <c r="M363" i="1"/>
  <c r="L363" i="1"/>
  <c r="N363" i="1" l="1"/>
  <c r="O364" i="1"/>
  <c r="P364" i="1"/>
  <c r="M364" i="1"/>
  <c r="N364" i="1" s="1"/>
  <c r="K365" i="1" l="1"/>
  <c r="O365" i="1" l="1"/>
  <c r="P365" i="1"/>
  <c r="M365" i="1"/>
  <c r="L365" i="1"/>
  <c r="K366" i="1" l="1"/>
  <c r="O366" i="1" s="1"/>
  <c r="N365" i="1"/>
  <c r="L366" i="1" l="1"/>
  <c r="P366" i="1"/>
  <c r="K367" i="1" s="1"/>
  <c r="M367" i="1" s="1"/>
  <c r="M366" i="1"/>
  <c r="N366" i="1"/>
  <c r="O367" i="1" l="1"/>
  <c r="P367" i="1"/>
  <c r="K368" i="1" s="1"/>
  <c r="M368" i="1" s="1"/>
  <c r="L367" i="1"/>
  <c r="N367" i="1" s="1"/>
  <c r="L368" i="1" l="1"/>
  <c r="O368" i="1"/>
  <c r="P368" i="1"/>
  <c r="K369" i="1" s="1"/>
  <c r="P369" i="1" s="1"/>
  <c r="N368" i="1"/>
  <c r="M369" i="1" l="1"/>
  <c r="O369" i="1"/>
  <c r="L369" i="1"/>
  <c r="N369" i="1" s="1"/>
  <c r="K370" i="1"/>
  <c r="O370" i="1" l="1"/>
  <c r="P370" i="1"/>
  <c r="K371" i="1" s="1"/>
  <c r="M370" i="1"/>
  <c r="L370" i="1"/>
  <c r="O371" i="1" l="1"/>
  <c r="M371" i="1"/>
  <c r="L371" i="1"/>
  <c r="P371" i="1"/>
  <c r="K372" i="1" s="1"/>
  <c r="N370" i="1"/>
  <c r="N371" i="1" l="1"/>
  <c r="M372" i="1"/>
  <c r="P372" i="1"/>
  <c r="O372" i="1"/>
  <c r="L372" i="1"/>
  <c r="N372" i="1" s="1"/>
  <c r="K373" i="1" l="1"/>
  <c r="O373" i="1" s="1"/>
  <c r="M373" i="1" l="1"/>
  <c r="L373" i="1"/>
  <c r="N373" i="1" s="1"/>
  <c r="P373" i="1"/>
  <c r="K374" i="1" s="1"/>
  <c r="M374" i="1" s="1"/>
  <c r="P374" i="1" l="1"/>
  <c r="L374" i="1"/>
  <c r="N374" i="1" s="1"/>
  <c r="O374" i="1"/>
  <c r="K375" i="1" l="1"/>
  <c r="O375" i="1" l="1"/>
  <c r="P375" i="1"/>
  <c r="K376" i="1" s="1"/>
  <c r="L375" i="1"/>
  <c r="M375" i="1"/>
  <c r="M376" i="1" l="1"/>
  <c r="L376" i="1"/>
  <c r="O376" i="1"/>
  <c r="P376" i="1"/>
  <c r="K377" i="1" s="1"/>
  <c r="N375" i="1"/>
  <c r="N376" i="1" l="1"/>
  <c r="O377" i="1"/>
  <c r="L377" i="1"/>
  <c r="P377" i="1"/>
  <c r="K378" i="1" s="1"/>
  <c r="M377" i="1"/>
  <c r="N377" i="1" l="1"/>
  <c r="O378" i="1"/>
  <c r="P378" i="1"/>
  <c r="K379" i="1" s="1"/>
  <c r="O379" i="1" s="1"/>
  <c r="M378" i="1"/>
  <c r="L378" i="1"/>
  <c r="N378" i="1" l="1"/>
  <c r="P379" i="1"/>
  <c r="K380" i="1" s="1"/>
  <c r="O380" i="1" s="1"/>
  <c r="L379" i="1"/>
  <c r="M379" i="1"/>
  <c r="L380" i="1" l="1"/>
  <c r="P380" i="1"/>
  <c r="K381" i="1" s="1"/>
  <c r="L381" i="1" s="1"/>
  <c r="N379" i="1"/>
  <c r="M380" i="1"/>
  <c r="N380" i="1" s="1"/>
  <c r="P381" i="1" l="1"/>
  <c r="M381" i="1"/>
  <c r="N381" i="1" s="1"/>
  <c r="O381" i="1"/>
  <c r="K382" i="1"/>
  <c r="P382" i="1" s="1"/>
  <c r="O382" i="1" l="1"/>
  <c r="K383" i="1" s="1"/>
  <c r="L382" i="1"/>
  <c r="M382" i="1"/>
  <c r="N382" i="1" l="1"/>
  <c r="M383" i="1"/>
  <c r="L383" i="1"/>
  <c r="P383" i="1"/>
  <c r="O383" i="1"/>
  <c r="K384" i="1" l="1"/>
  <c r="N383" i="1"/>
  <c r="O384" i="1" l="1"/>
  <c r="L384" i="1"/>
  <c r="P384" i="1"/>
  <c r="M384" i="1"/>
  <c r="N384" i="1" l="1"/>
  <c r="K385" i="1"/>
  <c r="O385" i="1" l="1"/>
  <c r="M385" i="1"/>
  <c r="L385" i="1"/>
  <c r="P385" i="1"/>
  <c r="K386" i="1" s="1"/>
  <c r="O386" i="1" l="1"/>
  <c r="M386" i="1"/>
  <c r="P386" i="1"/>
  <c r="L386" i="1"/>
  <c r="N386" i="1" s="1"/>
  <c r="N385" i="1"/>
  <c r="K387" i="1" l="1"/>
  <c r="P387" i="1" l="1"/>
  <c r="L387" i="1"/>
  <c r="N387" i="1" s="1"/>
  <c r="M387" i="1"/>
  <c r="O387" i="1"/>
  <c r="K388" i="1" s="1"/>
  <c r="L388" i="1" l="1"/>
  <c r="O388" i="1"/>
  <c r="M388" i="1"/>
  <c r="N388" i="1" s="1"/>
  <c r="P388" i="1"/>
  <c r="K389" i="1" s="1"/>
  <c r="L389" i="1" l="1"/>
  <c r="P389" i="1"/>
  <c r="M389" i="1"/>
  <c r="N389" i="1" s="1"/>
  <c r="O389" i="1"/>
  <c r="K390" i="1" l="1"/>
  <c r="P390" i="1" s="1"/>
  <c r="O390" i="1" l="1"/>
  <c r="M390" i="1"/>
  <c r="L390" i="1"/>
  <c r="K391" i="1"/>
  <c r="P391" i="1" s="1"/>
  <c r="N390" i="1" l="1"/>
  <c r="O391" i="1"/>
  <c r="L391" i="1"/>
  <c r="M391" i="1"/>
  <c r="K392" i="1"/>
  <c r="M392" i="1" s="1"/>
  <c r="O392" i="1" l="1"/>
  <c r="L392" i="1"/>
  <c r="P392" i="1"/>
  <c r="K393" i="1" s="1"/>
  <c r="N391" i="1"/>
  <c r="N392" i="1"/>
  <c r="O393" i="1" l="1"/>
  <c r="P393" i="1"/>
  <c r="L393" i="1"/>
  <c r="M393" i="1"/>
  <c r="N393" i="1" s="1"/>
  <c r="K394" i="1"/>
  <c r="O394" i="1" s="1"/>
  <c r="M394" i="1" l="1"/>
  <c r="P394" i="1"/>
  <c r="K395" i="1" s="1"/>
  <c r="L394" i="1"/>
  <c r="N394" i="1" s="1"/>
  <c r="O395" i="1" l="1"/>
  <c r="P395" i="1"/>
  <c r="K396" i="1" s="1"/>
  <c r="M395" i="1"/>
  <c r="L395" i="1"/>
  <c r="O396" i="1" l="1"/>
  <c r="P396" i="1"/>
  <c r="K397" i="1" s="1"/>
  <c r="M396" i="1"/>
  <c r="L396" i="1"/>
  <c r="N396" i="1" s="1"/>
  <c r="N395" i="1"/>
  <c r="P397" i="1" l="1"/>
  <c r="L397" i="1"/>
  <c r="O397" i="1"/>
  <c r="M397" i="1"/>
  <c r="K398" i="1" l="1"/>
  <c r="M398" i="1" s="1"/>
  <c r="N397" i="1"/>
  <c r="P398" i="1" l="1"/>
  <c r="K399" i="1" s="1"/>
  <c r="L399" i="1" s="1"/>
  <c r="O398" i="1"/>
  <c r="L398" i="1"/>
  <c r="N398" i="1" s="1"/>
  <c r="O399" i="1" l="1"/>
  <c r="P399" i="1"/>
  <c r="M399" i="1"/>
  <c r="N399" i="1" s="1"/>
  <c r="K400" i="1" l="1"/>
  <c r="P400" i="1" s="1"/>
  <c r="K401" i="1" s="1"/>
  <c r="M400" i="1" l="1"/>
  <c r="L400" i="1"/>
  <c r="N400" i="1" s="1"/>
  <c r="O400" i="1"/>
  <c r="L401" i="1"/>
  <c r="O401" i="1"/>
  <c r="M401" i="1"/>
  <c r="P401" i="1"/>
  <c r="K402" i="1" l="1"/>
  <c r="O402" i="1" s="1"/>
  <c r="N401" i="1"/>
  <c r="L402" i="1" l="1"/>
  <c r="P402" i="1"/>
  <c r="K403" i="1" s="1"/>
  <c r="O403" i="1" s="1"/>
  <c r="M402" i="1"/>
  <c r="N402" i="1" s="1"/>
  <c r="P403" i="1" l="1"/>
  <c r="K404" i="1" s="1"/>
  <c r="M404" i="1" s="1"/>
  <c r="M403" i="1"/>
  <c r="L403" i="1"/>
  <c r="L404" i="1" l="1"/>
  <c r="N404" i="1" s="1"/>
  <c r="P404" i="1"/>
  <c r="K405" i="1" s="1"/>
  <c r="M405" i="1" s="1"/>
  <c r="N403" i="1"/>
  <c r="O404" i="1"/>
  <c r="P405" i="1" l="1"/>
  <c r="K406" i="1" s="1"/>
  <c r="P406" i="1" s="1"/>
  <c r="L405" i="1"/>
  <c r="N405" i="1" s="1"/>
  <c r="O405" i="1"/>
  <c r="M406" i="1" l="1"/>
  <c r="L406" i="1"/>
  <c r="O406" i="1"/>
  <c r="K407" i="1"/>
  <c r="M407" i="1" s="1"/>
  <c r="N406" i="1" l="1"/>
  <c r="O407" i="1"/>
  <c r="P407" i="1"/>
  <c r="K408" i="1" s="1"/>
  <c r="L407" i="1"/>
  <c r="N407" i="1" s="1"/>
  <c r="O408" i="1" l="1"/>
  <c r="M408" i="1"/>
  <c r="P408" i="1"/>
  <c r="L408" i="1"/>
  <c r="N408" i="1" s="1"/>
  <c r="K409" i="1" l="1"/>
  <c r="P409" i="1" s="1"/>
  <c r="K410" i="1" s="1"/>
  <c r="O409" i="1" l="1"/>
  <c r="L409" i="1"/>
  <c r="M409" i="1"/>
  <c r="N409" i="1" s="1"/>
  <c r="O410" i="1"/>
  <c r="M410" i="1"/>
  <c r="P410" i="1"/>
  <c r="K411" i="1" s="1"/>
  <c r="L410" i="1"/>
  <c r="N410" i="1" l="1"/>
  <c r="L411" i="1"/>
  <c r="P411" i="1"/>
  <c r="O411" i="1"/>
  <c r="M411" i="1"/>
  <c r="K412" i="1" l="1"/>
  <c r="L412" i="1" s="1"/>
  <c r="N411" i="1"/>
  <c r="P412" i="1" l="1"/>
  <c r="K413" i="1" s="1"/>
  <c r="O413" i="1" s="1"/>
  <c r="O412" i="1"/>
  <c r="M412" i="1"/>
  <c r="N412" i="1"/>
  <c r="P413" i="1" l="1"/>
  <c r="K414" i="1" s="1"/>
  <c r="O414" i="1" s="1"/>
  <c r="M413" i="1"/>
  <c r="L413" i="1"/>
  <c r="N413" i="1" s="1"/>
  <c r="M414" i="1" l="1"/>
  <c r="L414" i="1"/>
  <c r="P414" i="1"/>
  <c r="K415" i="1" s="1"/>
  <c r="M415" i="1" s="1"/>
  <c r="N414" i="1" l="1"/>
  <c r="O415" i="1"/>
  <c r="P415" i="1"/>
  <c r="L415" i="1"/>
  <c r="N415" i="1" s="1"/>
  <c r="K416" i="1" l="1"/>
  <c r="L416" i="1" s="1"/>
  <c r="M416" i="1" l="1"/>
  <c r="N416" i="1" s="1"/>
  <c r="P416" i="1"/>
  <c r="K417" i="1" s="1"/>
  <c r="O417" i="1" s="1"/>
  <c r="O416" i="1"/>
  <c r="L417" i="1" l="1"/>
  <c r="M417" i="1"/>
  <c r="P417" i="1"/>
  <c r="K418" i="1" s="1"/>
  <c r="L418" i="1" s="1"/>
  <c r="N417" i="1" l="1"/>
  <c r="P418" i="1"/>
  <c r="M418" i="1"/>
  <c r="N418" i="1" s="1"/>
  <c r="O418" i="1"/>
  <c r="K419" i="1" l="1"/>
  <c r="O419" i="1" l="1"/>
  <c r="L419" i="1"/>
  <c r="M419" i="1"/>
  <c r="P419" i="1"/>
  <c r="K420" i="1" l="1"/>
  <c r="O420" i="1" s="1"/>
  <c r="N419" i="1"/>
  <c r="M420" i="1" l="1"/>
  <c r="P420" i="1"/>
  <c r="K421" i="1" s="1"/>
  <c r="M421" i="1" s="1"/>
  <c r="L420" i="1"/>
  <c r="N420" i="1" l="1"/>
  <c r="P421" i="1"/>
  <c r="L421" i="1"/>
  <c r="N421" i="1" s="1"/>
  <c r="O421" i="1"/>
  <c r="K422" i="1" l="1"/>
  <c r="M422" i="1" s="1"/>
  <c r="P422" i="1" l="1"/>
  <c r="O422" i="1"/>
  <c r="L422" i="1"/>
  <c r="N422" i="1" s="1"/>
  <c r="K423" i="1" l="1"/>
  <c r="M423" i="1" l="1"/>
  <c r="O423" i="1"/>
  <c r="L423" i="1"/>
  <c r="P423" i="1"/>
  <c r="K424" i="1" s="1"/>
  <c r="L424" i="1" s="1"/>
  <c r="N423" i="1" l="1"/>
  <c r="M424" i="1"/>
  <c r="N424" i="1" s="1"/>
  <c r="O424" i="1"/>
  <c r="P424" i="1"/>
  <c r="K425" i="1" s="1"/>
  <c r="M425" i="1" l="1"/>
  <c r="L425" i="1"/>
  <c r="N425" i="1" s="1"/>
  <c r="O425" i="1"/>
  <c r="P425" i="1"/>
  <c r="K426" i="1" s="1"/>
  <c r="O426" i="1" s="1"/>
  <c r="P426" i="1" l="1"/>
  <c r="K427" i="1" s="1"/>
  <c r="L427" i="1" s="1"/>
  <c r="L426" i="1"/>
  <c r="M426" i="1"/>
  <c r="N426" i="1" l="1"/>
  <c r="P427" i="1"/>
  <c r="M427" i="1"/>
  <c r="N427" i="1" s="1"/>
  <c r="O427" i="1"/>
  <c r="K428" i="1" s="1"/>
  <c r="O428" i="1" s="1"/>
  <c r="L428" i="1" l="1"/>
  <c r="M428" i="1"/>
  <c r="P428" i="1"/>
  <c r="K429" i="1" s="1"/>
  <c r="N428" i="1" l="1"/>
  <c r="O429" i="1"/>
  <c r="L429" i="1"/>
  <c r="M429" i="1"/>
  <c r="P429" i="1"/>
  <c r="K430" i="1" s="1"/>
  <c r="M430" i="1" s="1"/>
  <c r="O430" i="1" l="1"/>
  <c r="L430" i="1"/>
  <c r="N430" i="1" s="1"/>
  <c r="P430" i="1"/>
  <c r="K431" i="1" s="1"/>
  <c r="N429" i="1"/>
  <c r="P431" i="1" l="1"/>
  <c r="M431" i="1"/>
  <c r="O431" i="1"/>
  <c r="L431" i="1"/>
  <c r="N431" i="1" l="1"/>
  <c r="K432" i="1"/>
  <c r="L432" i="1" l="1"/>
  <c r="O432" i="1"/>
  <c r="P432" i="1"/>
  <c r="K433" i="1" s="1"/>
  <c r="M432" i="1"/>
  <c r="O433" i="1" l="1"/>
  <c r="L433" i="1"/>
  <c r="P433" i="1"/>
  <c r="K434" i="1" s="1"/>
  <c r="M433" i="1"/>
  <c r="N432" i="1"/>
  <c r="P434" i="1" l="1"/>
  <c r="L434" i="1"/>
  <c r="O434" i="1"/>
  <c r="M434" i="1"/>
  <c r="N433" i="1"/>
  <c r="N434" i="1" l="1"/>
  <c r="K435" i="1"/>
  <c r="M435" i="1" l="1"/>
  <c r="L435" i="1"/>
  <c r="N435" i="1" s="1"/>
  <c r="O435" i="1"/>
  <c r="P435" i="1"/>
  <c r="K436" i="1" s="1"/>
  <c r="P436" i="1" l="1"/>
  <c r="O436" i="1"/>
  <c r="L436" i="1"/>
  <c r="M436" i="1"/>
  <c r="N436" i="1" l="1"/>
  <c r="K437" i="1"/>
  <c r="L437" i="1" l="1"/>
  <c r="P437" i="1"/>
  <c r="O437" i="1"/>
  <c r="M437" i="1"/>
  <c r="K438" i="1" l="1"/>
  <c r="M438" i="1" s="1"/>
  <c r="N437" i="1"/>
  <c r="L438" i="1" l="1"/>
  <c r="N438" i="1" s="1"/>
  <c r="P438" i="1"/>
  <c r="K439" i="1" s="1"/>
  <c r="O439" i="1" s="1"/>
  <c r="O438" i="1"/>
  <c r="P439" i="1" l="1"/>
  <c r="M439" i="1"/>
  <c r="L439" i="1"/>
  <c r="K440" i="1"/>
  <c r="N439" i="1" l="1"/>
  <c r="O440" i="1"/>
  <c r="M440" i="1"/>
  <c r="L440" i="1"/>
  <c r="P440" i="1"/>
  <c r="N440" i="1" l="1"/>
  <c r="K441" i="1"/>
  <c r="M441" i="1" l="1"/>
  <c r="P441" i="1"/>
  <c r="K442" i="1" s="1"/>
  <c r="L441" i="1"/>
  <c r="N441" i="1" s="1"/>
  <c r="O441" i="1"/>
  <c r="M442" i="1" l="1"/>
  <c r="P442" i="1"/>
  <c r="L442" i="1"/>
  <c r="O442" i="1"/>
  <c r="N442" i="1" l="1"/>
  <c r="K443" i="1"/>
  <c r="P443" i="1" l="1"/>
  <c r="M443" i="1"/>
  <c r="O443" i="1"/>
  <c r="K444" i="1" s="1"/>
  <c r="L443" i="1"/>
  <c r="N443" i="1" l="1"/>
  <c r="O444" i="1"/>
  <c r="P444" i="1"/>
  <c r="K445" i="1" s="1"/>
  <c r="M444" i="1"/>
  <c r="L444" i="1"/>
  <c r="N444" i="1" s="1"/>
  <c r="O445" i="1" l="1"/>
  <c r="P445" i="1"/>
  <c r="K446" i="1" s="1"/>
  <c r="M445" i="1"/>
  <c r="L445" i="1"/>
  <c r="N445" i="1" l="1"/>
  <c r="L446" i="1"/>
  <c r="M446" i="1"/>
  <c r="P446" i="1"/>
  <c r="O446" i="1"/>
  <c r="K447" i="1" l="1"/>
  <c r="L447" i="1" s="1"/>
  <c r="N446" i="1"/>
  <c r="M447" i="1" l="1"/>
  <c r="N447" i="1" s="1"/>
  <c r="P447" i="1"/>
  <c r="K448" i="1" s="1"/>
  <c r="L448" i="1" s="1"/>
  <c r="O447" i="1"/>
  <c r="M448" i="1" l="1"/>
  <c r="N448" i="1" s="1"/>
  <c r="P448" i="1"/>
  <c r="K449" i="1" s="1"/>
  <c r="L449" i="1" s="1"/>
  <c r="O448" i="1"/>
  <c r="M449" i="1" l="1"/>
  <c r="N449" i="1" s="1"/>
  <c r="P449" i="1"/>
  <c r="K450" i="1" s="1"/>
  <c r="O450" i="1" s="1"/>
  <c r="O449" i="1"/>
  <c r="P450" i="1" l="1"/>
  <c r="K451" i="1" s="1"/>
  <c r="P451" i="1" s="1"/>
  <c r="M450" i="1"/>
  <c r="L450" i="1"/>
  <c r="N450" i="1" l="1"/>
  <c r="M451" i="1"/>
  <c r="L451" i="1"/>
  <c r="O451" i="1"/>
  <c r="K452" i="1" s="1"/>
  <c r="N451" i="1" l="1"/>
  <c r="M452" i="1"/>
  <c r="P452" i="1"/>
  <c r="O452" i="1"/>
  <c r="L452" i="1"/>
  <c r="N452" i="1" s="1"/>
  <c r="K453" i="1" l="1"/>
  <c r="O453" i="1" l="1"/>
  <c r="L453" i="1"/>
  <c r="M453" i="1"/>
  <c r="P453" i="1"/>
  <c r="K454" i="1" s="1"/>
  <c r="N453" i="1" l="1"/>
  <c r="P454" i="1"/>
  <c r="M454" i="1"/>
  <c r="L454" i="1"/>
  <c r="O454" i="1"/>
  <c r="N454" i="1" l="1"/>
  <c r="K455" i="1"/>
  <c r="O455" i="1" l="1"/>
  <c r="P455" i="1"/>
  <c r="K456" i="1" s="1"/>
  <c r="L455" i="1"/>
  <c r="M455" i="1"/>
  <c r="L456" i="1" l="1"/>
  <c r="P456" i="1"/>
  <c r="O456" i="1"/>
  <c r="M456" i="1"/>
  <c r="N455" i="1"/>
  <c r="K457" i="1" l="1"/>
  <c r="N456" i="1"/>
  <c r="L457" i="1" l="1"/>
  <c r="P457" i="1"/>
  <c r="K458" i="1" s="1"/>
  <c r="M457" i="1"/>
  <c r="O457" i="1"/>
  <c r="P458" i="1" l="1"/>
  <c r="O458" i="1"/>
  <c r="M458" i="1"/>
  <c r="L458" i="1"/>
  <c r="N457" i="1"/>
  <c r="K459" i="1" l="1"/>
  <c r="O459" i="1" s="1"/>
  <c r="N458" i="1"/>
  <c r="L459" i="1"/>
  <c r="P459" i="1" l="1"/>
  <c r="K460" i="1" s="1"/>
  <c r="M459" i="1"/>
  <c r="N459" i="1" s="1"/>
  <c r="M460" i="1"/>
  <c r="P460" i="1"/>
  <c r="L460" i="1"/>
  <c r="O460" i="1"/>
  <c r="N460" i="1" l="1"/>
  <c r="K461" i="1"/>
  <c r="L461" i="1" l="1"/>
  <c r="P461" i="1"/>
  <c r="M461" i="1"/>
  <c r="N461" i="1" s="1"/>
  <c r="O461" i="1"/>
  <c r="K462" i="1" l="1"/>
  <c r="M462" i="1" l="1"/>
  <c r="L462" i="1"/>
  <c r="N462" i="1" s="1"/>
  <c r="O462" i="1"/>
  <c r="P462" i="1"/>
  <c r="K463" i="1" s="1"/>
  <c r="P463" i="1" l="1"/>
  <c r="L463" i="1"/>
  <c r="O463" i="1"/>
  <c r="M463" i="1"/>
  <c r="N463" i="1" l="1"/>
  <c r="K464" i="1"/>
  <c r="L464" i="1" l="1"/>
  <c r="P464" i="1"/>
  <c r="M464" i="1"/>
  <c r="O464" i="1"/>
  <c r="K465" i="1" l="1"/>
  <c r="N464" i="1"/>
  <c r="P465" i="1" l="1"/>
  <c r="O465" i="1"/>
  <c r="K466" i="1" s="1"/>
  <c r="L465" i="1"/>
  <c r="N465" i="1" s="1"/>
  <c r="M465" i="1"/>
  <c r="P466" i="1" l="1"/>
  <c r="K467" i="1" s="1"/>
  <c r="O466" i="1"/>
  <c r="L466" i="1"/>
  <c r="M466" i="1"/>
  <c r="N466" i="1" l="1"/>
  <c r="O467" i="1"/>
  <c r="M467" i="1"/>
  <c r="P467" i="1"/>
  <c r="K468" i="1" s="1"/>
  <c r="L467" i="1"/>
  <c r="N467" i="1" l="1"/>
  <c r="M468" i="1"/>
  <c r="P468" i="1"/>
  <c r="O468" i="1"/>
  <c r="L468" i="1"/>
  <c r="N468" i="1" s="1"/>
  <c r="K469" i="1" l="1"/>
  <c r="O469" i="1" l="1"/>
  <c r="L469" i="1"/>
  <c r="P469" i="1"/>
  <c r="K470" i="1" s="1"/>
  <c r="M469" i="1"/>
  <c r="O470" i="1" l="1"/>
  <c r="M470" i="1"/>
  <c r="L470" i="1"/>
  <c r="P470" i="1"/>
  <c r="K471" i="1" s="1"/>
  <c r="N469" i="1"/>
  <c r="N470" i="1" l="1"/>
  <c r="P471" i="1"/>
  <c r="M471" i="1"/>
  <c r="O471" i="1"/>
  <c r="K472" i="1" s="1"/>
  <c r="L471" i="1"/>
  <c r="N471" i="1" s="1"/>
  <c r="P472" i="1" l="1"/>
  <c r="M472" i="1"/>
  <c r="O472" i="1"/>
  <c r="L472" i="1"/>
  <c r="N472" i="1" s="1"/>
  <c r="K473" i="1" l="1"/>
  <c r="L473" i="1" s="1"/>
  <c r="O473" i="1" l="1"/>
  <c r="P473" i="1"/>
  <c r="M473" i="1"/>
  <c r="N473" i="1" s="1"/>
  <c r="K474" i="1"/>
  <c r="L474" i="1" s="1"/>
  <c r="P474" i="1" l="1"/>
  <c r="M474" i="1"/>
  <c r="O474" i="1"/>
  <c r="N474" i="1"/>
  <c r="K475" i="1" l="1"/>
  <c r="O475" i="1" s="1"/>
  <c r="M475" i="1"/>
  <c r="L475" i="1"/>
  <c r="N475" i="1" s="1"/>
  <c r="P475" i="1"/>
  <c r="K476" i="1" s="1"/>
  <c r="L476" i="1" s="1"/>
  <c r="P476" i="1" l="1"/>
  <c r="M476" i="1"/>
  <c r="N476" i="1" s="1"/>
  <c r="O476" i="1"/>
  <c r="K477" i="1" l="1"/>
  <c r="O477" i="1" s="1"/>
  <c r="M477" i="1"/>
  <c r="P477" i="1" l="1"/>
  <c r="K478" i="1" s="1"/>
  <c r="L478" i="1" s="1"/>
  <c r="L477" i="1"/>
  <c r="N477" i="1"/>
  <c r="M478" i="1" l="1"/>
  <c r="P478" i="1"/>
  <c r="K479" i="1" s="1"/>
  <c r="M479" i="1" s="1"/>
  <c r="O478" i="1"/>
  <c r="N478" i="1"/>
  <c r="O479" i="1"/>
  <c r="L479" i="1"/>
  <c r="P479" i="1"/>
  <c r="N479" i="1" l="1"/>
  <c r="K480" i="1"/>
  <c r="P480" i="1" s="1"/>
  <c r="O480" i="1" l="1"/>
  <c r="L480" i="1"/>
  <c r="K481" i="1"/>
  <c r="M481" i="1" s="1"/>
  <c r="M480" i="1"/>
  <c r="N480" i="1" s="1"/>
  <c r="O481" i="1" l="1"/>
  <c r="L481" i="1"/>
  <c r="N481" i="1"/>
  <c r="P481" i="1"/>
  <c r="K482" i="1" s="1"/>
  <c r="L482" i="1" s="1"/>
  <c r="M482" i="1" l="1"/>
  <c r="P482" i="1"/>
  <c r="K483" i="1" s="1"/>
  <c r="P483" i="1" s="1"/>
  <c r="O482" i="1"/>
  <c r="N482" i="1"/>
  <c r="M483" i="1" l="1"/>
  <c r="L483" i="1"/>
  <c r="N483" i="1" s="1"/>
  <c r="O483" i="1"/>
  <c r="K484" i="1"/>
  <c r="O484" i="1" s="1"/>
  <c r="M484" i="1" l="1"/>
  <c r="P484" i="1"/>
  <c r="K485" i="1" s="1"/>
  <c r="L485" i="1" s="1"/>
  <c r="L484" i="1"/>
  <c r="N484" i="1"/>
  <c r="M485" i="1"/>
  <c r="P485" i="1"/>
  <c r="O485" i="1" l="1"/>
  <c r="K486" i="1"/>
  <c r="O486" i="1" s="1"/>
  <c r="M486" i="1"/>
  <c r="N485" i="1"/>
  <c r="P486" i="1" l="1"/>
  <c r="K487" i="1" s="1"/>
  <c r="M487" i="1" s="1"/>
  <c r="L486" i="1"/>
  <c r="N486" i="1" s="1"/>
  <c r="O487" i="1" l="1"/>
  <c r="P487" i="1"/>
  <c r="K488" i="1" s="1"/>
  <c r="O488" i="1" s="1"/>
  <c r="L487" i="1"/>
  <c r="N487" i="1" s="1"/>
  <c r="L488" i="1"/>
  <c r="M488" i="1"/>
  <c r="P488" i="1"/>
  <c r="K489" i="1" s="1"/>
  <c r="O489" i="1" s="1"/>
  <c r="N488" i="1"/>
  <c r="L489" i="1" l="1"/>
  <c r="P489" i="1"/>
  <c r="K490" i="1" s="1"/>
  <c r="O490" i="1" s="1"/>
  <c r="M489" i="1"/>
  <c r="N489" i="1" l="1"/>
  <c r="P490" i="1"/>
  <c r="K491" i="1" s="1"/>
  <c r="L491" i="1" s="1"/>
  <c r="L490" i="1"/>
  <c r="M490" i="1"/>
  <c r="N490" i="1"/>
  <c r="P491" i="1" l="1"/>
  <c r="O491" i="1"/>
  <c r="M491" i="1"/>
  <c r="N491" i="1" s="1"/>
  <c r="K492" i="1"/>
  <c r="O492" i="1" s="1"/>
  <c r="P492" i="1" l="1"/>
  <c r="K493" i="1" s="1"/>
  <c r="L492" i="1"/>
  <c r="M492" i="1"/>
  <c r="N492" i="1" s="1"/>
  <c r="O493" i="1"/>
  <c r="P493" i="1"/>
  <c r="L493" i="1"/>
  <c r="M493" i="1"/>
  <c r="N493" i="1" l="1"/>
  <c r="K494" i="1"/>
  <c r="P494" i="1" l="1"/>
  <c r="L494" i="1"/>
  <c r="M494" i="1"/>
  <c r="O494" i="1"/>
  <c r="N494" i="1" l="1"/>
  <c r="K495" i="1"/>
  <c r="O495" i="1" l="1"/>
  <c r="P495" i="1"/>
  <c r="K496" i="1" s="1"/>
  <c r="M495" i="1"/>
  <c r="L495" i="1"/>
  <c r="N495" i="1" l="1"/>
  <c r="O496" i="1"/>
  <c r="M496" i="1"/>
  <c r="P496" i="1"/>
  <c r="L496" i="1"/>
  <c r="N496" i="1" l="1"/>
  <c r="K497" i="1"/>
  <c r="O497" i="1" s="1"/>
  <c r="L497" i="1" l="1"/>
  <c r="P497" i="1"/>
  <c r="K498" i="1" s="1"/>
  <c r="M497" i="1"/>
  <c r="N497" i="1" l="1"/>
  <c r="M498" i="1"/>
  <c r="O498" i="1"/>
  <c r="L498" i="1"/>
  <c r="P498" i="1"/>
  <c r="K499" i="1" s="1"/>
  <c r="L499" i="1" l="1"/>
  <c r="P499" i="1"/>
  <c r="O499" i="1"/>
  <c r="M499" i="1"/>
  <c r="N498" i="1"/>
  <c r="K500" i="1" l="1"/>
  <c r="M500" i="1" s="1"/>
  <c r="N499" i="1"/>
  <c r="L500" i="1" l="1"/>
  <c r="N500" i="1" s="1"/>
  <c r="O500" i="1"/>
  <c r="P500" i="1"/>
  <c r="K501" i="1" l="1"/>
  <c r="P501" i="1"/>
  <c r="K502" i="1" s="1"/>
  <c r="M501" i="1"/>
  <c r="L501" i="1"/>
  <c r="O501" i="1"/>
  <c r="N501" i="1" l="1"/>
  <c r="L502" i="1"/>
  <c r="M502" i="1"/>
  <c r="P502" i="1"/>
  <c r="K503" i="1" s="1"/>
  <c r="O502" i="1"/>
  <c r="N502" i="1" l="1"/>
  <c r="P503" i="1"/>
  <c r="K504" i="1" s="1"/>
  <c r="O503" i="1"/>
  <c r="L503" i="1"/>
  <c r="M503" i="1"/>
  <c r="N503" i="1" l="1"/>
  <c r="L504" i="1"/>
  <c r="M504" i="1"/>
  <c r="P504" i="1"/>
  <c r="O504" i="1"/>
  <c r="K505" i="1" l="1"/>
  <c r="P505" i="1" s="1"/>
  <c r="N504" i="1"/>
  <c r="L505" i="1" l="1"/>
  <c r="M505" i="1"/>
  <c r="O505" i="1"/>
  <c r="K506" i="1" s="1"/>
  <c r="O506" i="1" s="1"/>
  <c r="N505" i="1" l="1"/>
  <c r="M506" i="1"/>
  <c r="L506" i="1"/>
  <c r="P506" i="1"/>
  <c r="K507" i="1" s="1"/>
  <c r="P507" i="1" s="1"/>
  <c r="K508" i="1" s="1"/>
  <c r="P508" i="1" s="1"/>
  <c r="N506" i="1" l="1"/>
  <c r="O507" i="1"/>
  <c r="M507" i="1"/>
  <c r="L507" i="1"/>
  <c r="N507" i="1" s="1"/>
  <c r="L508" i="1"/>
  <c r="M508" i="1"/>
  <c r="O508" i="1"/>
  <c r="K509" i="1" s="1"/>
  <c r="P509" i="1" s="1"/>
  <c r="N508" i="1" l="1"/>
  <c r="O509" i="1"/>
  <c r="K510" i="1" s="1"/>
  <c r="M509" i="1"/>
  <c r="L509" i="1"/>
  <c r="N509" i="1" s="1"/>
  <c r="P510" i="1" l="1"/>
  <c r="O510" i="1"/>
  <c r="M510" i="1"/>
  <c r="L510" i="1"/>
  <c r="K511" i="1" l="1"/>
  <c r="O511" i="1" s="1"/>
  <c r="N510" i="1"/>
  <c r="L511" i="1" l="1"/>
  <c r="P511" i="1"/>
  <c r="K512" i="1" s="1"/>
  <c r="L512" i="1" s="1"/>
  <c r="M511" i="1"/>
  <c r="N511" i="1" s="1"/>
  <c r="M512" i="1" l="1"/>
  <c r="P512" i="1"/>
  <c r="O512" i="1"/>
  <c r="N512" i="1"/>
  <c r="K513" i="1" l="1"/>
  <c r="P513" i="1" s="1"/>
  <c r="K514" i="1" s="1"/>
  <c r="O514" i="1" s="1"/>
  <c r="L514" i="1" l="1"/>
  <c r="M514" i="1"/>
  <c r="P514" i="1"/>
  <c r="O513" i="1"/>
  <c r="M513" i="1"/>
  <c r="L513" i="1"/>
  <c r="K515" i="1"/>
  <c r="L515" i="1" s="1"/>
  <c r="N514" i="1" l="1"/>
  <c r="N513" i="1"/>
  <c r="P515" i="1"/>
  <c r="O515" i="1"/>
  <c r="K516" i="1" s="1"/>
  <c r="P516" i="1" s="1"/>
  <c r="M515" i="1"/>
  <c r="N515" i="1" s="1"/>
  <c r="O516" i="1" l="1"/>
  <c r="K517" i="1" s="1"/>
  <c r="M517" i="1" s="1"/>
  <c r="M516" i="1"/>
  <c r="L516" i="1"/>
  <c r="N516" i="1" l="1"/>
  <c r="O517" i="1"/>
  <c r="L517" i="1"/>
  <c r="N517" i="1" s="1"/>
  <c r="P517" i="1"/>
  <c r="K518" i="1" s="1"/>
  <c r="P518" i="1" s="1"/>
  <c r="L518" i="1" l="1"/>
  <c r="M518" i="1"/>
  <c r="O518" i="1"/>
  <c r="K519" i="1" s="1"/>
  <c r="N518" i="1" l="1"/>
  <c r="P519" i="1"/>
  <c r="O519" i="1"/>
  <c r="L519" i="1"/>
  <c r="M519" i="1"/>
  <c r="N519" i="1" l="1"/>
  <c r="K520" i="1"/>
  <c r="P520" i="1" l="1"/>
  <c r="O520" i="1"/>
  <c r="L520" i="1"/>
  <c r="M520" i="1"/>
  <c r="N520" i="1" l="1"/>
  <c r="K521" i="1"/>
  <c r="P521" i="1" l="1"/>
  <c r="O521" i="1"/>
  <c r="L521" i="1"/>
  <c r="M521" i="1"/>
  <c r="K522" i="1" l="1"/>
  <c r="L522" i="1" s="1"/>
  <c r="N521" i="1"/>
  <c r="M522" i="1" l="1"/>
  <c r="N522" i="1" s="1"/>
  <c r="O522" i="1"/>
  <c r="P522" i="1"/>
  <c r="K523" i="1" l="1"/>
  <c r="P523" i="1" s="1"/>
  <c r="M523" i="1" l="1"/>
  <c r="L523" i="1"/>
  <c r="O523" i="1"/>
  <c r="K524" i="1" s="1"/>
  <c r="N523" i="1"/>
  <c r="P524" i="1" l="1"/>
  <c r="O524" i="1"/>
  <c r="M524" i="1"/>
  <c r="L524" i="1"/>
  <c r="N524" i="1" l="1"/>
  <c r="K525" i="1"/>
  <c r="P525" i="1" l="1"/>
  <c r="O525" i="1"/>
  <c r="M525" i="1"/>
  <c r="L525" i="1"/>
  <c r="N525" i="1" l="1"/>
  <c r="K526" i="1"/>
  <c r="P526" i="1" l="1"/>
  <c r="O526" i="1"/>
  <c r="M526" i="1"/>
  <c r="L526" i="1"/>
  <c r="K527" i="1" l="1"/>
  <c r="P527" i="1" s="1"/>
  <c r="N526" i="1"/>
  <c r="L527" i="1" l="1"/>
  <c r="M527" i="1"/>
  <c r="O527" i="1"/>
  <c r="K528" i="1" s="1"/>
  <c r="N527" i="1" l="1"/>
  <c r="P528" i="1"/>
  <c r="O528" i="1"/>
  <c r="M528" i="1"/>
  <c r="L528" i="1"/>
  <c r="N528" i="1" l="1"/>
  <c r="K529" i="1"/>
  <c r="P529" i="1" l="1"/>
  <c r="O529" i="1"/>
  <c r="M529" i="1"/>
  <c r="L529" i="1"/>
  <c r="K530" i="1" l="1"/>
  <c r="O530" i="1" s="1"/>
  <c r="N529" i="1"/>
  <c r="P530" i="1" l="1"/>
  <c r="K531" i="1" s="1"/>
  <c r="L530" i="1"/>
  <c r="M530" i="1"/>
  <c r="N530" i="1" s="1"/>
  <c r="P531" i="1" l="1"/>
  <c r="O531" i="1"/>
  <c r="L531" i="1"/>
  <c r="M531" i="1"/>
  <c r="K532" i="1" l="1"/>
  <c r="O532" i="1" s="1"/>
  <c r="N531" i="1"/>
  <c r="L532" i="1" l="1"/>
  <c r="P532" i="1"/>
  <c r="K533" i="1" s="1"/>
  <c r="M532" i="1"/>
  <c r="N532" i="1" l="1"/>
  <c r="P533" i="1"/>
  <c r="O533" i="1"/>
  <c r="L533" i="1"/>
  <c r="M533" i="1"/>
  <c r="N533" i="1" l="1"/>
  <c r="K534" i="1"/>
  <c r="P534" i="1" l="1"/>
  <c r="O534" i="1"/>
  <c r="M534" i="1"/>
  <c r="L534" i="1"/>
  <c r="N534" i="1" l="1"/>
  <c r="K535" i="1"/>
  <c r="P535" i="1" l="1"/>
  <c r="O535" i="1"/>
  <c r="M535" i="1"/>
  <c r="L535" i="1"/>
  <c r="K536" i="1" l="1"/>
  <c r="P536" i="1" s="1"/>
  <c r="N535" i="1"/>
  <c r="M536" i="1" l="1"/>
  <c r="L536" i="1"/>
  <c r="O536" i="1"/>
  <c r="K537" i="1" s="1"/>
  <c r="N536" i="1" l="1"/>
  <c r="P537" i="1"/>
  <c r="O537" i="1"/>
  <c r="M537" i="1"/>
  <c r="L537" i="1"/>
  <c r="N537" i="1" l="1"/>
  <c r="K538" i="1"/>
  <c r="P538" i="1" l="1"/>
  <c r="O538" i="1"/>
  <c r="M538" i="1"/>
  <c r="L538" i="1"/>
  <c r="N538" i="1" l="1"/>
  <c r="K539" i="1"/>
  <c r="P539" i="1" s="1"/>
  <c r="L539" i="1" l="1"/>
  <c r="M539" i="1"/>
  <c r="O539" i="1"/>
  <c r="K540" i="1" s="1"/>
  <c r="N539" i="1" l="1"/>
  <c r="P540" i="1"/>
  <c r="O540" i="1"/>
  <c r="M540" i="1"/>
  <c r="L540" i="1"/>
  <c r="K541" i="1" l="1"/>
  <c r="P541" i="1" s="1"/>
  <c r="N540" i="1"/>
  <c r="M541" i="1" l="1"/>
  <c r="L541" i="1"/>
  <c r="O541" i="1"/>
  <c r="K542" i="1" s="1"/>
  <c r="N541" i="1" l="1"/>
  <c r="P542" i="1"/>
  <c r="O542" i="1"/>
  <c r="M542" i="1"/>
  <c r="L542" i="1"/>
  <c r="N542" i="1" l="1"/>
  <c r="K543" i="1"/>
  <c r="P543" i="1" l="1"/>
  <c r="O543" i="1"/>
  <c r="L543" i="1"/>
  <c r="M543" i="1"/>
  <c r="N543" i="1" l="1"/>
  <c r="K544" i="1"/>
  <c r="P544" i="1" l="1"/>
  <c r="O544" i="1"/>
  <c r="L544" i="1"/>
  <c r="M544" i="1"/>
  <c r="K545" i="1" l="1"/>
  <c r="P545" i="1" s="1"/>
  <c r="N544" i="1"/>
  <c r="L545" i="1" l="1"/>
  <c r="M545" i="1"/>
  <c r="O545" i="1"/>
  <c r="K546" i="1"/>
  <c r="P546" i="1" s="1"/>
  <c r="N545" i="1" l="1"/>
  <c r="M546" i="1"/>
  <c r="O546" i="1"/>
  <c r="K547" i="1" s="1"/>
  <c r="L546" i="1"/>
  <c r="N546" i="1" l="1"/>
  <c r="P547" i="1"/>
  <c r="O547" i="1"/>
  <c r="M547" i="1"/>
  <c r="L547" i="1"/>
  <c r="K548" i="1" l="1"/>
  <c r="O548" i="1" s="1"/>
  <c r="N547" i="1"/>
  <c r="P548" i="1" l="1"/>
  <c r="K549" i="1" s="1"/>
  <c r="P549" i="1" s="1"/>
  <c r="L548" i="1"/>
  <c r="M548" i="1"/>
  <c r="N548" i="1" l="1"/>
  <c r="O549" i="1"/>
  <c r="K550" i="1" s="1"/>
  <c r="M549" i="1"/>
  <c r="L549" i="1"/>
  <c r="N549" i="1" s="1"/>
  <c r="M550" i="1" l="1"/>
  <c r="O550" i="1"/>
  <c r="L550" i="1"/>
  <c r="P550" i="1"/>
  <c r="K551" i="1" s="1"/>
  <c r="N550" i="1" l="1"/>
  <c r="P551" i="1"/>
  <c r="O551" i="1"/>
  <c r="L551" i="1"/>
  <c r="M551" i="1"/>
  <c r="N551" i="1" l="1"/>
  <c r="K552" i="1"/>
  <c r="P552" i="1" l="1"/>
  <c r="K553" i="1" s="1"/>
  <c r="O552" i="1"/>
  <c r="M552" i="1"/>
  <c r="L552" i="1"/>
  <c r="N552" i="1" l="1"/>
  <c r="P553" i="1"/>
  <c r="O553" i="1"/>
  <c r="M553" i="1"/>
  <c r="L553" i="1"/>
  <c r="K554" i="1" l="1"/>
  <c r="P554" i="1" s="1"/>
  <c r="N553" i="1"/>
  <c r="L554" i="1" l="1"/>
  <c r="M554" i="1"/>
  <c r="N554" i="1" s="1"/>
  <c r="O554" i="1"/>
  <c r="K555" i="1"/>
  <c r="P555" i="1" l="1"/>
  <c r="O555" i="1"/>
  <c r="L555" i="1"/>
  <c r="M555" i="1"/>
  <c r="N555" i="1" l="1"/>
  <c r="K556" i="1"/>
  <c r="P556" i="1" l="1"/>
  <c r="O556" i="1"/>
  <c r="M556" i="1"/>
  <c r="L556" i="1"/>
  <c r="K557" i="1" l="1"/>
  <c r="O557" i="1" s="1"/>
  <c r="N556" i="1"/>
  <c r="P557" i="1" l="1"/>
  <c r="K558" i="1" s="1"/>
  <c r="L557" i="1"/>
  <c r="M557" i="1"/>
  <c r="N557" i="1" l="1"/>
  <c r="P558" i="1"/>
  <c r="O558" i="1"/>
  <c r="L558" i="1"/>
  <c r="M558" i="1"/>
  <c r="N558" i="1" l="1"/>
  <c r="K559" i="1"/>
  <c r="P559" i="1" s="1"/>
  <c r="L559" i="1" l="1"/>
  <c r="O559" i="1"/>
  <c r="K560" i="1" s="1"/>
  <c r="M559" i="1"/>
  <c r="N559" i="1" l="1"/>
  <c r="P560" i="1"/>
  <c r="O560" i="1"/>
  <c r="M560" i="1"/>
  <c r="L560" i="1"/>
  <c r="N560" i="1" l="1"/>
  <c r="K561" i="1"/>
  <c r="O561" i="1" s="1"/>
  <c r="L561" i="1" l="1"/>
  <c r="M561" i="1"/>
  <c r="P561" i="1"/>
  <c r="K562" i="1" s="1"/>
  <c r="O562" i="1" s="1"/>
  <c r="N561" i="1" l="1"/>
  <c r="P562" i="1"/>
  <c r="K563" i="1" s="1"/>
  <c r="M562" i="1"/>
  <c r="L562" i="1"/>
  <c r="N562" i="1" l="1"/>
  <c r="P563" i="1"/>
  <c r="O563" i="1"/>
  <c r="L563" i="1"/>
  <c r="M563" i="1"/>
  <c r="N563" i="1" l="1"/>
  <c r="K564" i="1"/>
  <c r="P564" i="1" l="1"/>
  <c r="O564" i="1"/>
  <c r="M564" i="1"/>
  <c r="L564" i="1"/>
  <c r="N564" i="1" l="1"/>
  <c r="K565" i="1"/>
  <c r="P565" i="1" l="1"/>
  <c r="O565" i="1"/>
  <c r="M565" i="1"/>
  <c r="L565" i="1"/>
  <c r="N565" i="1" l="1"/>
  <c r="K566" i="1"/>
  <c r="P566" i="1" l="1"/>
  <c r="O566" i="1"/>
  <c r="L566" i="1"/>
  <c r="M566" i="1"/>
  <c r="N566" i="1" l="1"/>
  <c r="K567" i="1"/>
  <c r="P567" i="1" s="1"/>
  <c r="M567" i="1" l="1"/>
  <c r="L567" i="1"/>
  <c r="O567" i="1"/>
  <c r="K568" i="1" s="1"/>
  <c r="N567" i="1" l="1"/>
  <c r="P568" i="1"/>
  <c r="O568" i="1"/>
  <c r="L568" i="1"/>
  <c r="M568" i="1"/>
  <c r="N568" i="1" l="1"/>
  <c r="K569" i="1"/>
  <c r="P569" i="1" l="1"/>
  <c r="O569" i="1"/>
  <c r="L569" i="1"/>
  <c r="M569" i="1"/>
  <c r="N569" i="1" l="1"/>
  <c r="K570" i="1"/>
  <c r="P570" i="1" l="1"/>
  <c r="O570" i="1"/>
  <c r="M570" i="1"/>
  <c r="L570" i="1"/>
  <c r="N570" i="1" l="1"/>
  <c r="K571" i="1"/>
  <c r="P571" i="1" s="1"/>
  <c r="M571" i="1" l="1"/>
  <c r="L571" i="1"/>
  <c r="O571" i="1"/>
  <c r="K572" i="1" s="1"/>
  <c r="N571" i="1" l="1"/>
  <c r="P572" i="1"/>
  <c r="O572" i="1"/>
  <c r="M572" i="1"/>
  <c r="L572" i="1"/>
  <c r="N572" i="1" l="1"/>
  <c r="K573" i="1"/>
  <c r="P573" i="1" l="1"/>
  <c r="O573" i="1"/>
  <c r="M573" i="1"/>
  <c r="L573" i="1"/>
  <c r="N573" i="1" l="1"/>
  <c r="K574" i="1"/>
  <c r="P574" i="1" l="1"/>
  <c r="O574" i="1"/>
  <c r="M574" i="1"/>
  <c r="L574" i="1"/>
  <c r="K575" i="1" l="1"/>
  <c r="O575" i="1" s="1"/>
  <c r="N574" i="1"/>
  <c r="L575" i="1" l="1"/>
  <c r="P575" i="1"/>
  <c r="M575" i="1"/>
  <c r="K576" i="1"/>
  <c r="N575" i="1" l="1"/>
  <c r="P576" i="1"/>
  <c r="O576" i="1"/>
  <c r="M576" i="1"/>
  <c r="L576" i="1"/>
  <c r="N576" i="1" l="1"/>
  <c r="K577" i="1"/>
  <c r="P577" i="1" l="1"/>
  <c r="O577" i="1"/>
  <c r="M577" i="1"/>
  <c r="L577" i="1"/>
  <c r="K578" i="1" l="1"/>
  <c r="P578" i="1" s="1"/>
  <c r="N577" i="1"/>
  <c r="L578" i="1" l="1"/>
  <c r="M578" i="1"/>
  <c r="N578" i="1" s="1"/>
  <c r="O578" i="1"/>
  <c r="K579" i="1"/>
  <c r="P579" i="1" l="1"/>
  <c r="O579" i="1"/>
  <c r="L579" i="1"/>
  <c r="M579" i="1"/>
  <c r="K580" i="1" l="1"/>
  <c r="O580" i="1" s="1"/>
  <c r="N579" i="1"/>
  <c r="M580" i="1" l="1"/>
  <c r="P580" i="1"/>
  <c r="K581" i="1" s="1"/>
  <c r="L580" i="1"/>
  <c r="N580" i="1" l="1"/>
  <c r="P581" i="1"/>
  <c r="O581" i="1"/>
  <c r="M581" i="1"/>
  <c r="L581" i="1"/>
  <c r="N581" i="1" l="1"/>
  <c r="K582" i="1"/>
  <c r="P582" i="1" l="1"/>
  <c r="O582" i="1"/>
  <c r="M582" i="1"/>
  <c r="L582" i="1"/>
  <c r="N582" i="1" l="1"/>
  <c r="K583" i="1"/>
  <c r="P583" i="1" l="1"/>
  <c r="O583" i="1"/>
  <c r="L583" i="1"/>
  <c r="M583" i="1"/>
  <c r="N583" i="1" l="1"/>
  <c r="K584" i="1"/>
  <c r="P584" i="1" l="1"/>
  <c r="O584" i="1"/>
  <c r="L584" i="1"/>
  <c r="M584" i="1"/>
  <c r="N584" i="1" l="1"/>
  <c r="K585" i="1"/>
  <c r="P585" i="1" l="1"/>
  <c r="O585" i="1"/>
  <c r="L585" i="1"/>
  <c r="M585" i="1"/>
  <c r="N585" i="1" l="1"/>
  <c r="K586" i="1"/>
  <c r="P586" i="1" l="1"/>
  <c r="O586" i="1"/>
  <c r="M586" i="1"/>
  <c r="L586" i="1"/>
  <c r="N586" i="1" l="1"/>
  <c r="K587" i="1"/>
  <c r="P587" i="1" l="1"/>
  <c r="O587" i="1"/>
  <c r="M587" i="1"/>
  <c r="L587" i="1"/>
  <c r="N587" i="1" l="1"/>
  <c r="K588" i="1"/>
  <c r="P588" i="1" l="1"/>
  <c r="O588" i="1"/>
  <c r="L588" i="1"/>
  <c r="M588" i="1"/>
  <c r="N588" i="1" l="1"/>
  <c r="K589" i="1"/>
  <c r="P589" i="1" l="1"/>
  <c r="O589" i="1"/>
  <c r="L589" i="1"/>
  <c r="M589" i="1"/>
  <c r="N589" i="1" l="1"/>
  <c r="K590" i="1"/>
  <c r="P590" i="1" l="1"/>
  <c r="O590" i="1"/>
  <c r="L590" i="1"/>
  <c r="M590" i="1"/>
  <c r="N590" i="1" l="1"/>
  <c r="K591" i="1"/>
  <c r="P591" i="1" l="1"/>
  <c r="K592" i="1" s="1"/>
  <c r="O591" i="1"/>
  <c r="M591" i="1"/>
  <c r="L591" i="1"/>
  <c r="N591" i="1" l="1"/>
  <c r="P592" i="1"/>
  <c r="O592" i="1"/>
  <c r="L592" i="1"/>
  <c r="M592" i="1"/>
  <c r="N592" i="1" l="1"/>
  <c r="K593" i="1"/>
  <c r="P593" i="1" l="1"/>
  <c r="O593" i="1"/>
  <c r="M593" i="1"/>
  <c r="L593" i="1"/>
  <c r="N593" i="1" l="1"/>
  <c r="K594" i="1"/>
  <c r="P594" i="1" l="1"/>
  <c r="O594" i="1"/>
  <c r="M594" i="1"/>
  <c r="L594" i="1"/>
  <c r="N594" i="1" l="1"/>
  <c r="K595" i="1"/>
  <c r="P595" i="1" l="1"/>
  <c r="O595" i="1"/>
  <c r="M595" i="1"/>
  <c r="L595" i="1"/>
  <c r="N595" i="1" l="1"/>
  <c r="K596" i="1"/>
  <c r="P596" i="1" l="1"/>
  <c r="O596" i="1"/>
  <c r="L596" i="1"/>
  <c r="M596" i="1"/>
  <c r="N596" i="1" l="1"/>
  <c r="K597" i="1"/>
  <c r="P597" i="1" l="1"/>
  <c r="O597" i="1"/>
  <c r="L597" i="1"/>
  <c r="M597" i="1"/>
  <c r="N597" i="1" l="1"/>
  <c r="K598" i="1"/>
  <c r="P598" i="1" l="1"/>
  <c r="O598" i="1"/>
  <c r="L598" i="1"/>
  <c r="M598" i="1"/>
  <c r="N598" i="1" l="1"/>
  <c r="K599" i="1"/>
  <c r="P599" i="1" l="1"/>
  <c r="O599" i="1"/>
  <c r="M599" i="1"/>
  <c r="L599" i="1"/>
  <c r="N599" i="1" l="1"/>
  <c r="K600" i="1"/>
  <c r="P600" i="1" l="1"/>
  <c r="O600" i="1"/>
  <c r="L600" i="1"/>
  <c r="M600" i="1"/>
  <c r="N600" i="1" l="1"/>
  <c r="K601" i="1"/>
  <c r="L601" i="1" l="1"/>
  <c r="O601" i="1"/>
  <c r="M601" i="1"/>
  <c r="P601" i="1"/>
  <c r="K602" i="1" l="1"/>
  <c r="O602" i="1" s="1"/>
  <c r="N601" i="1"/>
  <c r="L602" i="1" l="1"/>
  <c r="M602" i="1"/>
  <c r="N602" i="1" s="1"/>
  <c r="P602" i="1"/>
  <c r="K603" i="1" s="1"/>
  <c r="P603" i="1" l="1"/>
  <c r="O603" i="1"/>
  <c r="L603" i="1"/>
  <c r="M603" i="1"/>
  <c r="K604" i="1" l="1"/>
  <c r="O604" i="1" s="1"/>
  <c r="N603" i="1"/>
  <c r="M604" i="1" l="1"/>
  <c r="L604" i="1"/>
  <c r="N604" i="1" s="1"/>
  <c r="P604" i="1"/>
  <c r="K605" i="1" s="1"/>
  <c r="M605" i="1" s="1"/>
  <c r="L605" i="1" l="1"/>
  <c r="O605" i="1"/>
  <c r="P605" i="1"/>
  <c r="N605" i="1"/>
  <c r="K606" i="1" l="1"/>
  <c r="P606" i="1" s="1"/>
  <c r="O606" i="1" l="1"/>
  <c r="K607" i="1" s="1"/>
  <c r="L606" i="1"/>
  <c r="M606" i="1"/>
  <c r="M607" i="1" l="1"/>
  <c r="O607" i="1"/>
  <c r="P607" i="1"/>
  <c r="K608" i="1" s="1"/>
  <c r="L607" i="1"/>
  <c r="N607" i="1" s="1"/>
  <c r="N606" i="1"/>
  <c r="P608" i="1" l="1"/>
  <c r="O608" i="1"/>
  <c r="M608" i="1"/>
  <c r="L608" i="1"/>
  <c r="N608" i="1" l="1"/>
  <c r="K609" i="1"/>
  <c r="P609" i="1" l="1"/>
  <c r="O609" i="1"/>
  <c r="M609" i="1"/>
  <c r="L609" i="1"/>
  <c r="N609" i="1" l="1"/>
  <c r="K610" i="1"/>
  <c r="P610" i="1" l="1"/>
  <c r="O610" i="1"/>
  <c r="M610" i="1"/>
  <c r="L610" i="1"/>
  <c r="N610" i="1" l="1"/>
  <c r="K611" i="1"/>
  <c r="P611" i="1" l="1"/>
  <c r="O611" i="1"/>
  <c r="M611" i="1"/>
  <c r="L611" i="1"/>
  <c r="K612" i="1" l="1"/>
  <c r="L612" i="1" s="1"/>
  <c r="N611" i="1"/>
  <c r="M612" i="1" l="1"/>
  <c r="O612" i="1"/>
  <c r="P612" i="1"/>
  <c r="K613" i="1" s="1"/>
  <c r="O613" i="1" s="1"/>
  <c r="N612" i="1"/>
  <c r="M613" i="1" l="1"/>
  <c r="P613" i="1"/>
  <c r="K614" i="1" s="1"/>
  <c r="O614" i="1" s="1"/>
  <c r="L613" i="1"/>
  <c r="N613" i="1" l="1"/>
  <c r="P614" i="1"/>
  <c r="K615" i="1" s="1"/>
  <c r="L614" i="1"/>
  <c r="M614" i="1"/>
  <c r="N614" i="1" l="1"/>
  <c r="P615" i="1"/>
  <c r="O615" i="1"/>
  <c r="M615" i="1"/>
  <c r="L615" i="1"/>
  <c r="N615" i="1" l="1"/>
  <c r="K616" i="1"/>
  <c r="P616" i="1" l="1"/>
  <c r="O616" i="1"/>
  <c r="L616" i="1"/>
  <c r="M616" i="1"/>
  <c r="N616" i="1" l="1"/>
  <c r="K617" i="1"/>
  <c r="P617" i="1" l="1"/>
  <c r="O617" i="1"/>
  <c r="M617" i="1"/>
  <c r="L617" i="1"/>
  <c r="N617" i="1" l="1"/>
  <c r="K618" i="1"/>
  <c r="P618" i="1" s="1"/>
  <c r="L618" i="1" l="1"/>
  <c r="M618" i="1"/>
  <c r="O618" i="1"/>
  <c r="K619" i="1" s="1"/>
  <c r="N618" i="1" l="1"/>
  <c r="P619" i="1"/>
  <c r="O619" i="1"/>
  <c r="M619" i="1"/>
  <c r="L619" i="1"/>
  <c r="N619" i="1" l="1"/>
  <c r="K620" i="1"/>
  <c r="L620" i="1" l="1"/>
  <c r="O620" i="1"/>
  <c r="M620" i="1"/>
  <c r="P620" i="1"/>
  <c r="K621" i="1" l="1"/>
  <c r="P621" i="1" s="1"/>
  <c r="N620" i="1"/>
  <c r="M621" i="1" l="1"/>
  <c r="L621" i="1"/>
  <c r="N621" i="1" s="1"/>
  <c r="O621" i="1"/>
  <c r="K622" i="1"/>
  <c r="P622" i="1" l="1"/>
  <c r="O622" i="1"/>
  <c r="L622" i="1"/>
  <c r="M622" i="1"/>
  <c r="K623" i="1" l="1"/>
  <c r="O623" i="1" s="1"/>
  <c r="N622" i="1"/>
  <c r="L623" i="1" l="1"/>
  <c r="M623" i="1"/>
  <c r="P623" i="1"/>
  <c r="K624" i="1" s="1"/>
  <c r="P624" i="1" s="1"/>
  <c r="N623" i="1" l="1"/>
  <c r="L624" i="1"/>
  <c r="M624" i="1"/>
  <c r="O624" i="1"/>
  <c r="K625" i="1" s="1"/>
  <c r="N624" i="1" l="1"/>
  <c r="P625" i="1"/>
  <c r="O625" i="1"/>
  <c r="M625" i="1"/>
  <c r="L625" i="1"/>
  <c r="N625" i="1" l="1"/>
  <c r="K626" i="1"/>
  <c r="P626" i="1" l="1"/>
  <c r="O626" i="1"/>
  <c r="M626" i="1"/>
  <c r="L626" i="1"/>
  <c r="N626" i="1" l="1"/>
  <c r="K627" i="1"/>
  <c r="P627" i="1" l="1"/>
  <c r="O627" i="1"/>
  <c r="M627" i="1"/>
  <c r="L627" i="1"/>
  <c r="N627" i="1" l="1"/>
  <c r="K628" i="1"/>
  <c r="P628" i="1" l="1"/>
  <c r="O628" i="1"/>
  <c r="L628" i="1"/>
  <c r="M628" i="1"/>
  <c r="N628" i="1" l="1"/>
  <c r="K629" i="1"/>
  <c r="P629" i="1" l="1"/>
  <c r="O629" i="1"/>
  <c r="L629" i="1"/>
  <c r="M629" i="1"/>
  <c r="N629" i="1" l="1"/>
  <c r="K630" i="1"/>
  <c r="P630" i="1" l="1"/>
  <c r="O630" i="1"/>
  <c r="M630" i="1"/>
  <c r="L630" i="1"/>
  <c r="K631" i="1" l="1"/>
  <c r="O631" i="1" s="1"/>
  <c r="N630" i="1"/>
  <c r="L631" i="1" l="1"/>
  <c r="P631" i="1"/>
  <c r="M631" i="1"/>
  <c r="N631" i="1"/>
  <c r="K632" i="1"/>
  <c r="P632" i="1" l="1"/>
  <c r="O632" i="1"/>
  <c r="M632" i="1"/>
  <c r="L632" i="1"/>
  <c r="N632" i="1" l="1"/>
  <c r="K633" i="1"/>
  <c r="P633" i="1" l="1"/>
  <c r="O633" i="1"/>
  <c r="L633" i="1"/>
  <c r="M633" i="1"/>
  <c r="K634" i="1" l="1"/>
  <c r="N633" i="1"/>
  <c r="P634" i="1"/>
  <c r="O634" i="1"/>
  <c r="M634" i="1"/>
  <c r="L634" i="1"/>
  <c r="K635" i="1" l="1"/>
  <c r="P635" i="1" s="1"/>
  <c r="N634" i="1"/>
  <c r="M635" i="1" l="1"/>
  <c r="L635" i="1"/>
  <c r="N635" i="1" s="1"/>
  <c r="O635" i="1"/>
  <c r="K636" i="1" s="1"/>
  <c r="P636" i="1" l="1"/>
  <c r="O636" i="1"/>
  <c r="L636" i="1"/>
  <c r="M636" i="1"/>
  <c r="N636" i="1" l="1"/>
  <c r="K637" i="1"/>
  <c r="P637" i="1" l="1"/>
  <c r="O637" i="1"/>
  <c r="L637" i="1"/>
  <c r="M637" i="1"/>
  <c r="N637" i="1" l="1"/>
  <c r="K638" i="1"/>
  <c r="P638" i="1" l="1"/>
  <c r="O638" i="1"/>
  <c r="L638" i="1"/>
  <c r="M638" i="1"/>
  <c r="N638" i="1" l="1"/>
  <c r="K639" i="1"/>
  <c r="P639" i="1" l="1"/>
  <c r="O639" i="1"/>
  <c r="M639" i="1"/>
  <c r="L639" i="1"/>
  <c r="N639" i="1" l="1"/>
  <c r="K640" i="1"/>
  <c r="P640" i="1" l="1"/>
  <c r="O640" i="1"/>
  <c r="M640" i="1"/>
  <c r="L640" i="1"/>
  <c r="K641" i="1" l="1"/>
  <c r="P641" i="1" s="1"/>
  <c r="N640" i="1"/>
  <c r="M641" i="1" l="1"/>
  <c r="L641" i="1"/>
  <c r="O641" i="1"/>
  <c r="N641" i="1"/>
  <c r="K642" i="1"/>
  <c r="P642" i="1" l="1"/>
  <c r="O642" i="1"/>
  <c r="M642" i="1"/>
  <c r="L642" i="1"/>
  <c r="N642" i="1" l="1"/>
  <c r="K643" i="1"/>
  <c r="O643" i="1" s="1"/>
  <c r="L643" i="1" l="1"/>
  <c r="M643" i="1"/>
  <c r="P643" i="1"/>
  <c r="K644" i="1" s="1"/>
  <c r="N643" i="1" l="1"/>
  <c r="P644" i="1"/>
  <c r="O644" i="1"/>
  <c r="M644" i="1"/>
  <c r="L644" i="1"/>
  <c r="N644" i="1" l="1"/>
  <c r="K645" i="1"/>
  <c r="P645" i="1" l="1"/>
  <c r="O645" i="1"/>
  <c r="M645" i="1"/>
  <c r="L645" i="1"/>
  <c r="N645" i="1" l="1"/>
  <c r="K646" i="1"/>
  <c r="P646" i="1" l="1"/>
  <c r="O646" i="1"/>
  <c r="L646" i="1"/>
  <c r="M646" i="1"/>
  <c r="N646" i="1" l="1"/>
  <c r="K647" i="1"/>
  <c r="O647" i="1" s="1"/>
  <c r="P647" i="1" l="1"/>
  <c r="K648" i="1" s="1"/>
  <c r="M647" i="1"/>
  <c r="L647" i="1"/>
  <c r="N647" i="1" l="1"/>
  <c r="P648" i="1"/>
  <c r="O648" i="1"/>
  <c r="L648" i="1"/>
  <c r="M648" i="1"/>
  <c r="N648" i="1" l="1"/>
  <c r="K649" i="1"/>
  <c r="P649" i="1" s="1"/>
  <c r="T13" i="1" s="1" a="1"/>
  <c r="T13" i="1" s="1"/>
  <c r="T8" i="1"/>
  <c r="T9" i="1"/>
  <c r="L649" i="1" l="1"/>
  <c r="O649" i="1"/>
  <c r="T14" i="1" s="1" a="1"/>
  <c r="T14" i="1" s="1"/>
  <c r="M649" i="1"/>
  <c r="T10" i="1"/>
  <c r="U10" i="1" s="1"/>
  <c r="N649" i="1" l="1"/>
  <c r="T11" i="1" s="1"/>
  <c r="U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<sst xmlns="http://schemas.openxmlformats.org/spreadsheetml/2006/main" count="34" uniqueCount="32">
  <si>
    <t>date</t>
  </si>
  <si>
    <t>^NDX</t>
  </si>
  <si>
    <t>LIN</t>
  </si>
  <si>
    <t>ABBV</t>
  </si>
  <si>
    <t>CS.PA</t>
  </si>
  <si>
    <t>CS.PA_PRED_TOMORROW</t>
  </si>
  <si>
    <t>signal</t>
  </si>
  <si>
    <t>keep</t>
  </si>
  <si>
    <t>CS.PA_TOMORROW</t>
  </si>
  <si>
    <t>SensOK</t>
  </si>
  <si>
    <t>Trigger</t>
  </si>
  <si>
    <t>total "sell"</t>
  </si>
  <si>
    <t>total "buy"</t>
  </si>
  <si>
    <t>Ordre</t>
  </si>
  <si>
    <t>Buy nb</t>
  </si>
  <si>
    <t>Sell nb</t>
  </si>
  <si>
    <t>total lines</t>
  </si>
  <si>
    <t>total negative</t>
  </si>
  <si>
    <t>total positive</t>
  </si>
  <si>
    <t>total lines with pred</t>
  </si>
  <si>
    <t>total ordres</t>
  </si>
  <si>
    <t>ordre dans le bon sens</t>
  </si>
  <si>
    <t>seuil trigger high</t>
  </si>
  <si>
    <t>seuil trigger low</t>
  </si>
  <si>
    <t>Natural</t>
  </si>
  <si>
    <t>AmountAction</t>
  </si>
  <si>
    <t>AmountCash</t>
  </si>
  <si>
    <t>Last Natual</t>
  </si>
  <si>
    <t>Last AmountAction</t>
  </si>
  <si>
    <t>Last AmountCash</t>
  </si>
  <si>
    <t>OrdreOk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</si>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</sst>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91F5-4B38-409B-9534-0A008D108222}">
  <dimension ref="A1:V649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0.42578125" bestFit="1" customWidth="1"/>
    <col min="3" max="3" width="13.28515625" customWidth="1"/>
    <col min="4" max="4" width="13.42578125" customWidth="1"/>
    <col min="5" max="5" width="15" customWidth="1"/>
    <col min="6" max="6" width="22" style="3" customWidth="1"/>
    <col min="7" max="7" width="21.28515625" customWidth="1"/>
    <col min="9" max="9" width="7" bestFit="1" customWidth="1"/>
    <col min="10" max="10" width="7.7109375" bestFit="1" customWidth="1"/>
    <col min="11" max="11" width="9.42578125" customWidth="1"/>
    <col min="12" max="13" width="6.85546875" bestFit="1" customWidth="1"/>
    <col min="14" max="14" width="8.42578125" bestFit="1" customWidth="1"/>
    <col min="15" max="15" width="12.28515625" bestFit="1" customWidth="1"/>
    <col min="16" max="16" width="13.5703125" bestFit="1" customWidth="1"/>
    <col min="17" max="17" width="12" bestFit="1" customWidth="1"/>
    <col min="18" max="18" width="7.28515625" customWidth="1"/>
    <col min="19" max="19" width="22.140625" customWidth="1"/>
    <col min="20" max="20" width="13" customWidth="1"/>
    <col min="21" max="21" width="9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8</v>
      </c>
      <c r="H1" t="s">
        <v>6</v>
      </c>
      <c r="I1" t="s">
        <v>10</v>
      </c>
      <c r="J1" t="s">
        <v>9</v>
      </c>
      <c r="K1" t="s">
        <v>13</v>
      </c>
      <c r="L1" t="s">
        <v>14</v>
      </c>
      <c r="M1" t="s">
        <v>15</v>
      </c>
      <c r="N1" t="s">
        <v>30</v>
      </c>
      <c r="O1" t="s">
        <v>26</v>
      </c>
      <c r="P1" t="s">
        <v>25</v>
      </c>
      <c r="Q1" t="s">
        <v>24</v>
      </c>
    </row>
    <row r="2" spans="1:22" x14ac:dyDescent="0.25">
      <c r="A2" s="1">
        <v>45042</v>
      </c>
      <c r="B2">
        <v>0.63944527740389301</v>
      </c>
      <c r="C2">
        <v>-0.56120693561388901</v>
      </c>
      <c r="D2">
        <v>-1.8799115436732601</v>
      </c>
      <c r="E2">
        <v>-5.1210532792311803E-2</v>
      </c>
      <c r="G2">
        <f t="shared" ref="G2:G65" si="0">E3</f>
        <v>0.632038909902643</v>
      </c>
      <c r="H2" t="s">
        <v>7</v>
      </c>
      <c r="I2" t="str">
        <f>IF(F2&gt;$T$2,"buy",IF(F2&lt;$T$3,"sell","keep"))</f>
        <v>sell</v>
      </c>
      <c r="J2">
        <f t="shared" ref="J2:J65" si="1">IF(OR(AND(F2&lt;0,G2&lt;0),AND(F2&gt;0,G2&gt;0)),1,0)</f>
        <v>0</v>
      </c>
      <c r="K2" t="str">
        <f>IF(AND(I2="sell",P1&lt;&gt;0),"sell",IF(AND(I2="buy",O1&lt;&gt;0),"buy","keep"))</f>
        <v>sell</v>
      </c>
      <c r="L2">
        <f t="shared" ref="L2:L62" si="2">IF(K2="buy",1,0)</f>
        <v>0</v>
      </c>
      <c r="M2">
        <f t="shared" ref="M2:M62" si="3">IF(K2="sell",1,0)</f>
        <v>1</v>
      </c>
      <c r="N2">
        <f>IF(AND(J2=1,OR(L2=1,M2=1)),1,0)</f>
        <v>0</v>
      </c>
      <c r="O2">
        <v>1000</v>
      </c>
      <c r="P2">
        <v>0</v>
      </c>
      <c r="Q2">
        <v>1000</v>
      </c>
      <c r="S2" t="s">
        <v>22</v>
      </c>
      <c r="T2">
        <v>0.15</v>
      </c>
    </row>
    <row r="3" spans="1:22" x14ac:dyDescent="0.25">
      <c r="A3" s="1">
        <v>45043</v>
      </c>
      <c r="B3">
        <v>2.76071013851324</v>
      </c>
      <c r="C3">
        <v>0.17534091636592899</v>
      </c>
      <c r="D3">
        <v>-7.9913585766792901</v>
      </c>
      <c r="E3">
        <v>0.632038909902643</v>
      </c>
      <c r="G3">
        <f t="shared" si="0"/>
        <v>0.39043786565557898</v>
      </c>
      <c r="H3" t="s">
        <v>7</v>
      </c>
      <c r="I3" t="str">
        <f t="shared" ref="I3:I66" si="4">IF(F3&gt;$T$2,"buy",IF(F3&lt;$T$3,"sell","keep"))</f>
        <v>sell</v>
      </c>
      <c r="J3">
        <f t="shared" si="1"/>
        <v>0</v>
      </c>
      <c r="K3" t="str">
        <f t="shared" ref="K3:K15" si="5">IF(AND(I3="sell",P2&lt;&gt;0),"sell",IF(AND(I3="buy",O2&lt;&gt;0),"buy","keep"))</f>
        <v>keep</v>
      </c>
      <c r="L3">
        <f t="shared" si="2"/>
        <v>0</v>
      </c>
      <c r="M3">
        <f t="shared" si="3"/>
        <v>0</v>
      </c>
      <c r="N3">
        <f t="shared" ref="N3:N66" si="6">IF(AND(J3=1,OR(L3=1,M3=1)),1,0)</f>
        <v>0</v>
      </c>
      <c r="O3">
        <f>IF(K3="sell",P2+(P2*E3/100),IF(K3="buy",0,O2))</f>
        <v>1000</v>
      </c>
      <c r="P3">
        <f>IF(K3="buy",O2,IF(K3="sell",0,IF(AND(K3="keep",P2&lt;&gt;0),P2+(P2*E2/100),P2)))</f>
        <v>0</v>
      </c>
      <c r="Q3">
        <f>Q2+(Q2*E3/100)</f>
        <v>1006.3203890990264</v>
      </c>
      <c r="S3" t="s">
        <v>23</v>
      </c>
      <c r="T3">
        <f>T2</f>
        <v>0.15</v>
      </c>
    </row>
    <row r="4" spans="1:22" x14ac:dyDescent="0.25">
      <c r="A4" s="1">
        <v>45044</v>
      </c>
      <c r="B4">
        <v>0.65318968992802395</v>
      </c>
      <c r="C4">
        <v>1.0420144754164</v>
      </c>
      <c r="D4">
        <v>1.51140615116709</v>
      </c>
      <c r="E4">
        <v>0.39043786565557898</v>
      </c>
      <c r="G4">
        <f t="shared" si="0"/>
        <v>-0.156025696852302</v>
      </c>
      <c r="H4" t="s">
        <v>7</v>
      </c>
      <c r="I4" t="str">
        <f t="shared" si="4"/>
        <v>sell</v>
      </c>
      <c r="J4">
        <f t="shared" si="1"/>
        <v>0</v>
      </c>
      <c r="K4" t="str">
        <f t="shared" si="5"/>
        <v>keep</v>
      </c>
      <c r="L4">
        <f t="shared" si="2"/>
        <v>0</v>
      </c>
      <c r="M4">
        <f t="shared" si="3"/>
        <v>0</v>
      </c>
      <c r="N4">
        <f t="shared" si="6"/>
        <v>0</v>
      </c>
      <c r="O4">
        <f t="shared" ref="O4:O67" si="7">IF(K4="sell",P3+(P3*E4/100),IF(K4="buy",0,O3))</f>
        <v>1000</v>
      </c>
      <c r="P4">
        <f t="shared" ref="P4:P67" si="8">IF(K4="buy",O3,IF(K4="sell",0,IF(AND(K4="keep",P3&lt;&gt;0),P3+(P3*E3/100),P3)))</f>
        <v>0</v>
      </c>
      <c r="Q4">
        <f>Q3+(Q3*E4/100)</f>
        <v>1010.2494449478816</v>
      </c>
      <c r="S4" t="s">
        <v>17</v>
      </c>
      <c r="T4">
        <f>COUNTIF(F:F,"&lt;0")</f>
        <v>163</v>
      </c>
    </row>
    <row r="5" spans="1:22" x14ac:dyDescent="0.25">
      <c r="A5" s="1">
        <v>45049</v>
      </c>
      <c r="B5">
        <v>-0.63636082007758599</v>
      </c>
      <c r="C5">
        <v>-1.7673650658882301</v>
      </c>
      <c r="D5">
        <v>-1.56311457709205</v>
      </c>
      <c r="E5">
        <v>-0.156025696852302</v>
      </c>
      <c r="G5">
        <f t="shared" si="0"/>
        <v>-2.2573365563232599</v>
      </c>
      <c r="H5" t="str">
        <f>IF(F5&gt;$T$2,"buy",IF(F5&lt;0,"sell","keep"))</f>
        <v>keep</v>
      </c>
      <c r="I5" t="str">
        <f t="shared" si="4"/>
        <v>sell</v>
      </c>
      <c r="J5">
        <f t="shared" si="1"/>
        <v>0</v>
      </c>
      <c r="K5" t="str">
        <f t="shared" si="5"/>
        <v>keep</v>
      </c>
      <c r="L5">
        <f t="shared" si="2"/>
        <v>0</v>
      </c>
      <c r="M5">
        <f t="shared" si="3"/>
        <v>0</v>
      </c>
      <c r="N5">
        <f t="shared" si="6"/>
        <v>0</v>
      </c>
      <c r="O5">
        <f t="shared" si="7"/>
        <v>1000</v>
      </c>
      <c r="P5">
        <f t="shared" si="8"/>
        <v>0</v>
      </c>
      <c r="Q5">
        <f>Q4+(Q4*E5/100)</f>
        <v>1008.6731962114551</v>
      </c>
      <c r="S5" t="s">
        <v>18</v>
      </c>
      <c r="T5">
        <f>COUNTIF(F:F,"&gt;=0")</f>
        <v>424</v>
      </c>
    </row>
    <row r="6" spans="1:22" x14ac:dyDescent="0.25">
      <c r="A6" s="1">
        <v>45050</v>
      </c>
      <c r="B6">
        <v>-0.36629871913488299</v>
      </c>
      <c r="C6">
        <v>-0.74280230042456097</v>
      </c>
      <c r="D6">
        <v>-1.2663337212415</v>
      </c>
      <c r="E6">
        <v>-2.2573365563232599</v>
      </c>
      <c r="G6">
        <f t="shared" si="0"/>
        <v>2.54041272879059</v>
      </c>
      <c r="H6" t="str">
        <f>IF(F6&gt;$T$2,"buy",IF(F6&lt;0,"sell","keep"))</f>
        <v>keep</v>
      </c>
      <c r="I6" t="str">
        <f t="shared" si="4"/>
        <v>sell</v>
      </c>
      <c r="J6">
        <f t="shared" si="1"/>
        <v>0</v>
      </c>
      <c r="K6" t="str">
        <f t="shared" si="5"/>
        <v>keep</v>
      </c>
      <c r="L6">
        <f t="shared" si="2"/>
        <v>0</v>
      </c>
      <c r="M6">
        <f t="shared" si="3"/>
        <v>0</v>
      </c>
      <c r="N6">
        <f t="shared" si="6"/>
        <v>0</v>
      </c>
      <c r="O6">
        <f t="shared" si="7"/>
        <v>1000</v>
      </c>
      <c r="P6">
        <f t="shared" si="8"/>
        <v>0</v>
      </c>
      <c r="Q6">
        <f>Q5+(Q5*E6/100)</f>
        <v>985.90404741953967</v>
      </c>
      <c r="S6" t="s">
        <v>19</v>
      </c>
      <c r="T6">
        <f>T4+T5</f>
        <v>587</v>
      </c>
    </row>
    <row r="7" spans="1:22" x14ac:dyDescent="0.25">
      <c r="A7" s="1">
        <v>45051</v>
      </c>
      <c r="B7">
        <v>2.1309441961296902</v>
      </c>
      <c r="C7">
        <v>1.5438021454112101</v>
      </c>
      <c r="D7">
        <v>0.454661420242019</v>
      </c>
      <c r="E7">
        <v>2.54041272879059</v>
      </c>
      <c r="G7">
        <f t="shared" si="0"/>
        <v>1.82253292299805</v>
      </c>
      <c r="H7" t="str">
        <f>IF(F7&gt;$T$2,"buy",IF(F7&lt;0,"sell","keep"))</f>
        <v>keep</v>
      </c>
      <c r="I7" t="str">
        <f t="shared" si="4"/>
        <v>sell</v>
      </c>
      <c r="J7">
        <f t="shared" si="1"/>
        <v>0</v>
      </c>
      <c r="K7" t="str">
        <f t="shared" si="5"/>
        <v>keep</v>
      </c>
      <c r="L7">
        <f t="shared" si="2"/>
        <v>0</v>
      </c>
      <c r="M7">
        <f t="shared" si="3"/>
        <v>0</v>
      </c>
      <c r="N7">
        <f t="shared" si="6"/>
        <v>0</v>
      </c>
      <c r="O7">
        <f t="shared" si="7"/>
        <v>1000</v>
      </c>
      <c r="P7">
        <f t="shared" si="8"/>
        <v>0</v>
      </c>
      <c r="Q7">
        <f>Q6+(Q6*E7/100)</f>
        <v>1010.9500793338473</v>
      </c>
      <c r="S7" t="s">
        <v>16</v>
      </c>
      <c r="T7">
        <f>COUNTA(A:A)-1</f>
        <v>648</v>
      </c>
    </row>
    <row r="8" spans="1:22" x14ac:dyDescent="0.25">
      <c r="A8" s="1">
        <v>45054</v>
      </c>
      <c r="B8">
        <v>0.245187775610689</v>
      </c>
      <c r="C8">
        <v>-0.19106629978162801</v>
      </c>
      <c r="D8">
        <v>-0.39179200474289599</v>
      </c>
      <c r="E8">
        <v>1.82253292299805</v>
      </c>
      <c r="G8">
        <f t="shared" si="0"/>
        <v>-0.39775633097935897</v>
      </c>
      <c r="H8" t="str">
        <f>IF(F8&gt;$T$2,"buy",IF(F8&lt;0,"sell","keep"))</f>
        <v>keep</v>
      </c>
      <c r="I8" t="str">
        <f t="shared" si="4"/>
        <v>sell</v>
      </c>
      <c r="J8">
        <f t="shared" si="1"/>
        <v>0</v>
      </c>
      <c r="K8" t="str">
        <f t="shared" si="5"/>
        <v>keep</v>
      </c>
      <c r="L8">
        <f t="shared" si="2"/>
        <v>0</v>
      </c>
      <c r="M8">
        <f t="shared" si="3"/>
        <v>0</v>
      </c>
      <c r="N8">
        <f t="shared" si="6"/>
        <v>0</v>
      </c>
      <c r="O8">
        <f t="shared" si="7"/>
        <v>1000</v>
      </c>
      <c r="P8">
        <f t="shared" si="8"/>
        <v>0</v>
      </c>
      <c r="Q8">
        <f>Q7+(Q7*E8/100)</f>
        <v>1029.3749773647814</v>
      </c>
      <c r="S8" t="s">
        <v>11</v>
      </c>
      <c r="T8">
        <f>COUNTIF(K:K,"sell")</f>
        <v>144</v>
      </c>
    </row>
    <row r="9" spans="1:22" x14ac:dyDescent="0.25">
      <c r="A9" s="1">
        <v>45055</v>
      </c>
      <c r="B9">
        <v>-0.68109954279148499</v>
      </c>
      <c r="C9">
        <v>-0.26527063709917897</v>
      </c>
      <c r="D9">
        <v>-0.42049848395862</v>
      </c>
      <c r="E9">
        <v>-0.39775633097935897</v>
      </c>
      <c r="G9">
        <f t="shared" si="0"/>
        <v>-1.3977143684584901</v>
      </c>
      <c r="H9" t="str">
        <f>IF(F9&gt;$T$2,"buy",IF(F9&lt;0,"sell","keep"))</f>
        <v>keep</v>
      </c>
      <c r="I9" t="str">
        <f t="shared" si="4"/>
        <v>sell</v>
      </c>
      <c r="J9">
        <f t="shared" si="1"/>
        <v>0</v>
      </c>
      <c r="K9" t="str">
        <f t="shared" si="5"/>
        <v>keep</v>
      </c>
      <c r="L9">
        <f t="shared" si="2"/>
        <v>0</v>
      </c>
      <c r="M9">
        <f t="shared" si="3"/>
        <v>0</v>
      </c>
      <c r="N9">
        <f t="shared" si="6"/>
        <v>0</v>
      </c>
      <c r="O9">
        <f t="shared" si="7"/>
        <v>1000</v>
      </c>
      <c r="P9">
        <f t="shared" si="8"/>
        <v>0</v>
      </c>
      <c r="Q9">
        <f>Q8+(Q8*E9/100)</f>
        <v>1025.2805732227957</v>
      </c>
      <c r="S9" t="s">
        <v>12</v>
      </c>
      <c r="T9">
        <f>COUNTIF(K:K,"buy")</f>
        <v>143</v>
      </c>
    </row>
    <row r="10" spans="1:22" x14ac:dyDescent="0.25">
      <c r="A10" s="1">
        <v>45056</v>
      </c>
      <c r="B10">
        <v>1.1114195901342101</v>
      </c>
      <c r="C10">
        <v>1.1516386836913901</v>
      </c>
      <c r="D10">
        <v>-0.27922840229135298</v>
      </c>
      <c r="E10">
        <v>-1.3977143684584901</v>
      </c>
      <c r="G10">
        <f t="shared" si="0"/>
        <v>-0.86525059739342902</v>
      </c>
      <c r="H10" t="str">
        <f>IF(F10&gt;$T$2,"buy",IF(F10&lt;0,"sell","keep"))</f>
        <v>keep</v>
      </c>
      <c r="I10" t="str">
        <f t="shared" si="4"/>
        <v>sell</v>
      </c>
      <c r="J10">
        <f t="shared" si="1"/>
        <v>0</v>
      </c>
      <c r="K10" t="str">
        <f t="shared" si="5"/>
        <v>keep</v>
      </c>
      <c r="L10">
        <f t="shared" si="2"/>
        <v>0</v>
      </c>
      <c r="M10">
        <f t="shared" si="3"/>
        <v>0</v>
      </c>
      <c r="N10">
        <f t="shared" si="6"/>
        <v>0</v>
      </c>
      <c r="O10">
        <f t="shared" si="7"/>
        <v>1000</v>
      </c>
      <c r="P10">
        <f t="shared" si="8"/>
        <v>0</v>
      </c>
      <c r="Q10">
        <f>Q9+(Q9*E10/100)</f>
        <v>1010.9500793338472</v>
      </c>
      <c r="S10" t="s">
        <v>20</v>
      </c>
      <c r="T10">
        <f>SUM(L:L)+SUM(M:M)</f>
        <v>287</v>
      </c>
      <c r="U10" s="2">
        <f>T10*2</f>
        <v>574</v>
      </c>
    </row>
    <row r="11" spans="1:22" x14ac:dyDescent="0.25">
      <c r="A11" s="1">
        <v>45057</v>
      </c>
      <c r="B11">
        <v>0.314284756900296</v>
      </c>
      <c r="C11">
        <v>-0.50421006489826903</v>
      </c>
      <c r="D11">
        <v>0.11608974921875</v>
      </c>
      <c r="E11">
        <v>-0.86525059739342902</v>
      </c>
      <c r="G11">
        <f t="shared" si="0"/>
        <v>7.4282245917411893E-2</v>
      </c>
      <c r="H11" t="str">
        <f>IF(F11&gt;$T$2,"buy",IF(F11&lt;0,"sell","keep"))</f>
        <v>keep</v>
      </c>
      <c r="I11" t="str">
        <f t="shared" si="4"/>
        <v>sell</v>
      </c>
      <c r="J11">
        <f t="shared" si="1"/>
        <v>0</v>
      </c>
      <c r="K11" t="str">
        <f t="shared" si="5"/>
        <v>keep</v>
      </c>
      <c r="L11">
        <f t="shared" si="2"/>
        <v>0</v>
      </c>
      <c r="M11">
        <f t="shared" si="3"/>
        <v>0</v>
      </c>
      <c r="N11">
        <f t="shared" si="6"/>
        <v>0</v>
      </c>
      <c r="O11">
        <f t="shared" si="7"/>
        <v>1000</v>
      </c>
      <c r="P11">
        <f t="shared" si="8"/>
        <v>0</v>
      </c>
      <c r="Q11">
        <f>Q10+(Q10*E11/100)</f>
        <v>1002.2028277330617</v>
      </c>
      <c r="S11" t="s">
        <v>21</v>
      </c>
      <c r="T11">
        <f>SUM(N:N)</f>
        <v>164</v>
      </c>
      <c r="U11">
        <f>T11/T10%</f>
        <v>57.142857142857139</v>
      </c>
      <c r="V11" t="s">
        <v>31</v>
      </c>
    </row>
    <row r="12" spans="1:22" x14ac:dyDescent="0.25">
      <c r="A12" s="1">
        <v>45058</v>
      </c>
      <c r="B12">
        <v>-0.37043614551238702</v>
      </c>
      <c r="C12">
        <v>0.89636726936212996</v>
      </c>
      <c r="D12">
        <v>0.382018550522844</v>
      </c>
      <c r="E12">
        <v>7.4282245917411893E-2</v>
      </c>
      <c r="G12">
        <f t="shared" si="0"/>
        <v>2.4308843664822599</v>
      </c>
      <c r="H12" t="str">
        <f>IF(F12&gt;$T$2,"buy",IF(F12&lt;0,"sell","keep"))</f>
        <v>keep</v>
      </c>
      <c r="I12" t="str">
        <f t="shared" si="4"/>
        <v>sell</v>
      </c>
      <c r="J12">
        <f t="shared" si="1"/>
        <v>0</v>
      </c>
      <c r="K12" t="str">
        <f t="shared" si="5"/>
        <v>keep</v>
      </c>
      <c r="L12">
        <f t="shared" si="2"/>
        <v>0</v>
      </c>
      <c r="M12">
        <f t="shared" si="3"/>
        <v>0</v>
      </c>
      <c r="N12">
        <f t="shared" si="6"/>
        <v>0</v>
      </c>
      <c r="O12">
        <f t="shared" si="7"/>
        <v>1000</v>
      </c>
      <c r="P12">
        <f t="shared" si="8"/>
        <v>0</v>
      </c>
      <c r="Q12">
        <f>Q11+(Q11*E12/100)</f>
        <v>1002.9472865021496</v>
      </c>
      <c r="S12" t="s">
        <v>27</v>
      </c>
      <c r="T12" cm="1">
        <f t="array" ref="T12">LOOKUP(2,1/(Q:Q&lt;&gt;""),Q:Q)</f>
        <v>1593.1582843994136</v>
      </c>
    </row>
    <row r="13" spans="1:22" x14ac:dyDescent="0.25">
      <c r="A13" s="1">
        <v>45061</v>
      </c>
      <c r="B13">
        <v>0.54969333129530895</v>
      </c>
      <c r="C13">
        <v>-0.41314777672755099</v>
      </c>
      <c r="D13">
        <v>-0.38056472268545</v>
      </c>
      <c r="E13">
        <v>2.4308843664822599</v>
      </c>
      <c r="G13">
        <f t="shared" si="0"/>
        <v>0.57970898012595895</v>
      </c>
      <c r="H13" t="str">
        <f>IF(F13&gt;$T$2,"buy",IF(F13&lt;0,"sell","keep"))</f>
        <v>keep</v>
      </c>
      <c r="I13" t="str">
        <f t="shared" si="4"/>
        <v>sell</v>
      </c>
      <c r="J13">
        <f t="shared" si="1"/>
        <v>0</v>
      </c>
      <c r="K13" t="str">
        <f t="shared" si="5"/>
        <v>keep</v>
      </c>
      <c r="L13">
        <f t="shared" si="2"/>
        <v>0</v>
      </c>
      <c r="M13">
        <f t="shared" si="3"/>
        <v>0</v>
      </c>
      <c r="N13">
        <f t="shared" si="6"/>
        <v>0</v>
      </c>
      <c r="O13">
        <f t="shared" si="7"/>
        <v>1000</v>
      </c>
      <c r="P13">
        <f t="shared" si="8"/>
        <v>0</v>
      </c>
      <c r="Q13">
        <f>Q12+(Q12*E13/100)</f>
        <v>1027.3277752937884</v>
      </c>
      <c r="S13" t="s">
        <v>28</v>
      </c>
      <c r="T13" cm="1">
        <f t="array" ref="T13">LOOKUP(2,1/(P:P&lt;&gt;""),P:P)</f>
        <v>0</v>
      </c>
    </row>
    <row r="14" spans="1:22" x14ac:dyDescent="0.25">
      <c r="A14" s="1">
        <v>45062</v>
      </c>
      <c r="B14">
        <v>9.3189629100898203E-2</v>
      </c>
      <c r="C14">
        <v>-0.786331399163686</v>
      </c>
      <c r="D14">
        <v>-2.2511643220055801</v>
      </c>
      <c r="E14">
        <v>0.57970898012595895</v>
      </c>
      <c r="G14">
        <f t="shared" si="0"/>
        <v>-0.41426958448953499</v>
      </c>
      <c r="H14" t="str">
        <f>IF(F14&gt;$T$2,"buy",IF(F14&lt;0,"sell","keep"))</f>
        <v>keep</v>
      </c>
      <c r="I14" t="str">
        <f t="shared" si="4"/>
        <v>sell</v>
      </c>
      <c r="J14">
        <f t="shared" si="1"/>
        <v>0</v>
      </c>
      <c r="K14" t="str">
        <f t="shared" si="5"/>
        <v>keep</v>
      </c>
      <c r="L14">
        <f t="shared" si="2"/>
        <v>0</v>
      </c>
      <c r="M14">
        <f t="shared" si="3"/>
        <v>0</v>
      </c>
      <c r="N14">
        <f t="shared" si="6"/>
        <v>0</v>
      </c>
      <c r="O14">
        <f t="shared" si="7"/>
        <v>1000</v>
      </c>
      <c r="P14">
        <f t="shared" si="8"/>
        <v>0</v>
      </c>
      <c r="Q14">
        <f>Q13+(Q13*E14/100)</f>
        <v>1033.2832866624947</v>
      </c>
      <c r="S14" t="s">
        <v>29</v>
      </c>
      <c r="T14" cm="1">
        <f t="array" ref="T14">LOOKUP(2,1/(O:O&lt;&gt;""),O:O)</f>
        <v>1937.809613927988</v>
      </c>
    </row>
    <row r="15" spans="1:22" x14ac:dyDescent="0.25">
      <c r="A15" s="1">
        <v>45063</v>
      </c>
      <c r="B15">
        <v>1.2159234415125499</v>
      </c>
      <c r="C15">
        <v>-0.24323154180591</v>
      </c>
      <c r="D15">
        <v>4.18664732341422E-2</v>
      </c>
      <c r="E15">
        <v>-0.41426958448953499</v>
      </c>
      <c r="G15">
        <f t="shared" si="0"/>
        <v>0.36173800277417001</v>
      </c>
      <c r="H15" t="str">
        <f>IF(F15&gt;$T$2,"buy",IF(F15&lt;0,"sell","keep"))</f>
        <v>keep</v>
      </c>
      <c r="I15" t="str">
        <f t="shared" si="4"/>
        <v>sell</v>
      </c>
      <c r="J15">
        <f t="shared" si="1"/>
        <v>0</v>
      </c>
      <c r="K15" t="str">
        <f t="shared" si="5"/>
        <v>keep</v>
      </c>
      <c r="L15">
        <f t="shared" si="2"/>
        <v>0</v>
      </c>
      <c r="M15">
        <f t="shared" si="3"/>
        <v>0</v>
      </c>
      <c r="N15">
        <f t="shared" si="6"/>
        <v>0</v>
      </c>
      <c r="O15">
        <f t="shared" si="7"/>
        <v>1000</v>
      </c>
      <c r="P15">
        <f t="shared" si="8"/>
        <v>0</v>
      </c>
      <c r="Q15">
        <f>Q14+(Q14*E15/100)</f>
        <v>1029.0027082842382</v>
      </c>
    </row>
    <row r="16" spans="1:22" x14ac:dyDescent="0.25">
      <c r="A16" s="1">
        <v>45064</v>
      </c>
      <c r="B16">
        <v>1.8055461135797399</v>
      </c>
      <c r="C16">
        <v>0.87120558469737597</v>
      </c>
      <c r="D16">
        <v>6.2796939477949204E-2</v>
      </c>
      <c r="E16">
        <v>0.36173800277417001</v>
      </c>
      <c r="G16">
        <f t="shared" si="0"/>
        <v>7.2079147454973097E-2</v>
      </c>
      <c r="H16" t="str">
        <f>IF(F16&gt;$T$2,"buy",IF(F16&lt;0,"sell","keep"))</f>
        <v>keep</v>
      </c>
      <c r="I16" t="str">
        <f t="shared" si="4"/>
        <v>sell</v>
      </c>
      <c r="J16">
        <f t="shared" si="1"/>
        <v>0</v>
      </c>
      <c r="K16" t="str">
        <f>IF(AND(I16="sell",P15&lt;&gt;0),"sell",IF(AND(I16="buy",O15&lt;&gt;0),"buy","keep"))</f>
        <v>keep</v>
      </c>
      <c r="L16">
        <f t="shared" si="2"/>
        <v>0</v>
      </c>
      <c r="M16">
        <f t="shared" si="3"/>
        <v>0</v>
      </c>
      <c r="N16">
        <f t="shared" si="6"/>
        <v>0</v>
      </c>
      <c r="O16">
        <f t="shared" si="7"/>
        <v>1000</v>
      </c>
      <c r="P16">
        <f t="shared" si="8"/>
        <v>0</v>
      </c>
      <c r="Q16">
        <f>Q15+(Q15*E16/100)</f>
        <v>1032.7250021296777</v>
      </c>
    </row>
    <row r="17" spans="1:17" x14ac:dyDescent="0.25">
      <c r="A17" s="1">
        <v>45065</v>
      </c>
      <c r="B17">
        <v>-0.22501436648647499</v>
      </c>
      <c r="C17">
        <v>0.89628131368024699</v>
      </c>
      <c r="D17">
        <v>1.16424498415554</v>
      </c>
      <c r="E17">
        <v>7.2079147454973097E-2</v>
      </c>
      <c r="G17">
        <f t="shared" si="0"/>
        <v>-7.2027230841054099E-2</v>
      </c>
      <c r="H17" t="str">
        <f>IF(F17&gt;$T$2,"buy",IF(F17&lt;0,"sell","keep"))</f>
        <v>keep</v>
      </c>
      <c r="I17" t="str">
        <f t="shared" si="4"/>
        <v>sell</v>
      </c>
      <c r="J17">
        <f t="shared" si="1"/>
        <v>0</v>
      </c>
      <c r="K17" t="str">
        <f>IF(AND(I17="sell",P16&lt;&gt;0),"sell",IF(AND(I17="buy",O16&lt;&gt;0),"buy","keep"))</f>
        <v>keep</v>
      </c>
      <c r="L17">
        <f t="shared" si="2"/>
        <v>0</v>
      </c>
      <c r="M17">
        <f t="shared" si="3"/>
        <v>0</v>
      </c>
      <c r="N17">
        <f t="shared" si="6"/>
        <v>0</v>
      </c>
      <c r="O17">
        <f t="shared" si="7"/>
        <v>1000</v>
      </c>
      <c r="P17">
        <f t="shared" si="8"/>
        <v>0</v>
      </c>
      <c r="Q17">
        <f>Q16+(Q16*E17/100)</f>
        <v>1033.4693815067671</v>
      </c>
    </row>
    <row r="18" spans="1:17" x14ac:dyDescent="0.25">
      <c r="A18" s="1">
        <v>45068</v>
      </c>
      <c r="B18">
        <v>0.33506018561033601</v>
      </c>
      <c r="C18">
        <v>-1.3728504020436301</v>
      </c>
      <c r="D18">
        <v>-0.14471803556938001</v>
      </c>
      <c r="E18">
        <v>-7.2027230841054099E-2</v>
      </c>
      <c r="G18">
        <f t="shared" si="0"/>
        <v>0.41448584835566099</v>
      </c>
      <c r="H18" t="str">
        <f>IF(F18&gt;$T$2,"buy",IF(F18&lt;0,"sell","keep"))</f>
        <v>keep</v>
      </c>
      <c r="I18" t="str">
        <f t="shared" si="4"/>
        <v>sell</v>
      </c>
      <c r="J18">
        <f t="shared" si="1"/>
        <v>0</v>
      </c>
      <c r="K18" t="str">
        <f>IF(AND(I18="sell",P17&lt;&gt;0),"sell",IF(AND(I18="buy",O17&lt;&gt;0),"buy","keep"))</f>
        <v>keep</v>
      </c>
      <c r="L18">
        <f t="shared" si="2"/>
        <v>0</v>
      </c>
      <c r="M18">
        <f t="shared" si="3"/>
        <v>0</v>
      </c>
      <c r="N18">
        <f t="shared" si="6"/>
        <v>0</v>
      </c>
      <c r="O18">
        <f t="shared" si="7"/>
        <v>1000</v>
      </c>
      <c r="P18">
        <f t="shared" si="8"/>
        <v>0</v>
      </c>
      <c r="Q18">
        <f>Q17+(Q17*E18/100)</f>
        <v>1032.7250021296777</v>
      </c>
    </row>
    <row r="19" spans="1:17" x14ac:dyDescent="0.25">
      <c r="A19" s="1">
        <v>45069</v>
      </c>
      <c r="B19">
        <v>-1.27944778973319</v>
      </c>
      <c r="C19">
        <v>-3.3980292196889499</v>
      </c>
      <c r="D19">
        <v>-1.64251475153527</v>
      </c>
      <c r="E19">
        <v>0.41448584835566099</v>
      </c>
      <c r="G19">
        <f t="shared" si="0"/>
        <v>-2.51256350656289</v>
      </c>
      <c r="H19" t="str">
        <f>IF(F19&gt;$T$2,"buy",IF(F19&lt;0,"sell","keep"))</f>
        <v>keep</v>
      </c>
      <c r="I19" t="str">
        <f t="shared" si="4"/>
        <v>sell</v>
      </c>
      <c r="J19">
        <f t="shared" si="1"/>
        <v>0</v>
      </c>
      <c r="K19" t="str">
        <f>IF(AND(I19="sell",P18&lt;&gt;0),"sell",IF(AND(I19="buy",O18&lt;&gt;0),"buy","keep"))</f>
        <v>keep</v>
      </c>
      <c r="L19">
        <f t="shared" si="2"/>
        <v>0</v>
      </c>
      <c r="M19">
        <f t="shared" si="3"/>
        <v>0</v>
      </c>
      <c r="N19">
        <f t="shared" si="6"/>
        <v>0</v>
      </c>
      <c r="O19">
        <f t="shared" si="7"/>
        <v>1000</v>
      </c>
      <c r="P19">
        <f t="shared" si="8"/>
        <v>0</v>
      </c>
      <c r="Q19">
        <f>Q18+(Q18*E19/100)</f>
        <v>1037.0055011159359</v>
      </c>
    </row>
    <row r="20" spans="1:17" x14ac:dyDescent="0.25">
      <c r="A20" s="1">
        <v>45070</v>
      </c>
      <c r="B20">
        <v>-0.49778292927322698</v>
      </c>
      <c r="C20">
        <v>0.25992877442353401</v>
      </c>
      <c r="D20">
        <v>-0.96129721088781195</v>
      </c>
      <c r="E20">
        <v>-2.51256350656289</v>
      </c>
      <c r="G20">
        <f t="shared" si="0"/>
        <v>-0.71796370750511995</v>
      </c>
      <c r="H20" t="str">
        <f>IF(F20&gt;$T$2,"buy",IF(F20&lt;0,"sell","keep"))</f>
        <v>keep</v>
      </c>
      <c r="I20" t="str">
        <f t="shared" si="4"/>
        <v>sell</v>
      </c>
      <c r="J20">
        <f t="shared" si="1"/>
        <v>0</v>
      </c>
      <c r="K20" t="str">
        <f>IF(AND(I20="sell",P19&lt;&gt;0),"sell",IF(AND(I20="buy",O19&lt;&gt;0),"buy","keep"))</f>
        <v>keep</v>
      </c>
      <c r="L20">
        <f t="shared" si="2"/>
        <v>0</v>
      </c>
      <c r="M20">
        <f t="shared" si="3"/>
        <v>0</v>
      </c>
      <c r="N20">
        <f t="shared" si="6"/>
        <v>0</v>
      </c>
      <c r="O20">
        <f t="shared" si="7"/>
        <v>1000</v>
      </c>
      <c r="P20">
        <f t="shared" si="8"/>
        <v>0</v>
      </c>
      <c r="Q20">
        <f>Q19+(Q19*E20/100)</f>
        <v>1010.9500793338473</v>
      </c>
    </row>
    <row r="21" spans="1:17" x14ac:dyDescent="0.25">
      <c r="A21" s="1">
        <v>45071</v>
      </c>
      <c r="B21">
        <v>2.4554396285460802</v>
      </c>
      <c r="C21">
        <v>0.48751860763145399</v>
      </c>
      <c r="D21">
        <v>-1.79239987259182</v>
      </c>
      <c r="E21">
        <v>-0.71796370750511995</v>
      </c>
      <c r="G21">
        <f t="shared" si="0"/>
        <v>0.482098528669272</v>
      </c>
      <c r="H21" t="str">
        <f>IF(F21&gt;$T$2,"buy",IF(F21&lt;0,"sell","keep"))</f>
        <v>keep</v>
      </c>
      <c r="I21" t="str">
        <f t="shared" si="4"/>
        <v>sell</v>
      </c>
      <c r="J21">
        <f t="shared" si="1"/>
        <v>0</v>
      </c>
      <c r="K21" t="str">
        <f>IF(AND(I21="sell",P20&lt;&gt;0),"sell",IF(AND(I21="buy",O20&lt;&gt;0),"buy","keep"))</f>
        <v>keep</v>
      </c>
      <c r="L21">
        <f t="shared" si="2"/>
        <v>0</v>
      </c>
      <c r="M21">
        <f t="shared" si="3"/>
        <v>0</v>
      </c>
      <c r="N21">
        <f t="shared" si="6"/>
        <v>0</v>
      </c>
      <c r="O21">
        <f t="shared" si="7"/>
        <v>1000</v>
      </c>
      <c r="P21">
        <f t="shared" si="8"/>
        <v>0</v>
      </c>
      <c r="Q21">
        <f>Q20+(Q20*E21/100)</f>
        <v>1003.691824663236</v>
      </c>
    </row>
    <row r="22" spans="1:17" x14ac:dyDescent="0.25">
      <c r="A22" s="1">
        <v>45072</v>
      </c>
      <c r="B22">
        <v>2.5819069568498101</v>
      </c>
      <c r="C22">
        <v>-0.106568458396538</v>
      </c>
      <c r="D22">
        <v>-0.76467046778284598</v>
      </c>
      <c r="E22">
        <v>0.482098528669272</v>
      </c>
      <c r="G22">
        <f t="shared" si="0"/>
        <v>-2.0396798697444898</v>
      </c>
      <c r="H22" t="str">
        <f>IF(F22&gt;$T$2,"buy",IF(F22&lt;0,"sell","keep"))</f>
        <v>keep</v>
      </c>
      <c r="I22" t="str">
        <f t="shared" si="4"/>
        <v>sell</v>
      </c>
      <c r="J22">
        <f t="shared" si="1"/>
        <v>0</v>
      </c>
      <c r="K22" t="str">
        <f>IF(AND(I22="sell",P21&lt;&gt;0),"sell",IF(AND(I22="buy",O21&lt;&gt;0),"buy","keep"))</f>
        <v>keep</v>
      </c>
      <c r="L22">
        <f t="shared" si="2"/>
        <v>0</v>
      </c>
      <c r="M22">
        <f t="shared" si="3"/>
        <v>0</v>
      </c>
      <c r="N22">
        <f t="shared" si="6"/>
        <v>0</v>
      </c>
      <c r="O22">
        <f t="shared" si="7"/>
        <v>1000</v>
      </c>
      <c r="P22">
        <f t="shared" si="8"/>
        <v>0</v>
      </c>
      <c r="Q22">
        <f>Q21+(Q21*E22/100)</f>
        <v>1008.5306081823113</v>
      </c>
    </row>
    <row r="23" spans="1:17" x14ac:dyDescent="0.25">
      <c r="A23" s="1">
        <v>45077</v>
      </c>
      <c r="B23">
        <v>-0.70289417810525101</v>
      </c>
      <c r="C23">
        <v>-0.35219665636356801</v>
      </c>
      <c r="D23">
        <v>1.11401804704542</v>
      </c>
      <c r="E23">
        <v>-2.0396798697444898</v>
      </c>
      <c r="G23">
        <f t="shared" si="0"/>
        <v>1.36285517355427</v>
      </c>
      <c r="H23" t="str">
        <f>IF(F23&gt;$T$2,"buy",IF(F23&lt;0,"sell","keep"))</f>
        <v>keep</v>
      </c>
      <c r="I23" t="str">
        <f t="shared" si="4"/>
        <v>sell</v>
      </c>
      <c r="J23">
        <f t="shared" si="1"/>
        <v>0</v>
      </c>
      <c r="K23" t="str">
        <f>IF(AND(I23="sell",P22&lt;&gt;0),"sell",IF(AND(I23="buy",O22&lt;&gt;0),"buy","keep"))</f>
        <v>keep</v>
      </c>
      <c r="L23">
        <f t="shared" si="2"/>
        <v>0</v>
      </c>
      <c r="M23">
        <f t="shared" si="3"/>
        <v>0</v>
      </c>
      <c r="N23">
        <f t="shared" si="6"/>
        <v>0</v>
      </c>
      <c r="O23">
        <f t="shared" si="7"/>
        <v>1000</v>
      </c>
      <c r="P23">
        <f t="shared" si="8"/>
        <v>0</v>
      </c>
      <c r="Q23">
        <f>Q22+(Q22*E23/100)</f>
        <v>987.95981238700506</v>
      </c>
    </row>
    <row r="24" spans="1:17" x14ac:dyDescent="0.25">
      <c r="A24" s="1">
        <v>45078</v>
      </c>
      <c r="B24">
        <v>1.31485015128607</v>
      </c>
      <c r="C24">
        <v>0.88114045424618703</v>
      </c>
      <c r="D24">
        <v>-3.2763029737901501</v>
      </c>
      <c r="E24">
        <v>1.36285517355427</v>
      </c>
      <c r="G24">
        <f t="shared" si="0"/>
        <v>1.79271352550662</v>
      </c>
      <c r="H24" t="str">
        <f>IF(F24&gt;$T$2,"buy",IF(F24&lt;0,"sell","keep"))</f>
        <v>keep</v>
      </c>
      <c r="I24" t="str">
        <f t="shared" si="4"/>
        <v>sell</v>
      </c>
      <c r="J24">
        <f t="shared" si="1"/>
        <v>0</v>
      </c>
      <c r="K24" t="str">
        <f>IF(AND(I24="sell",P23&lt;&gt;0),"sell",IF(AND(I24="buy",O23&lt;&gt;0),"buy","keep"))</f>
        <v>keep</v>
      </c>
      <c r="L24">
        <f t="shared" si="2"/>
        <v>0</v>
      </c>
      <c r="M24">
        <f t="shared" si="3"/>
        <v>0</v>
      </c>
      <c r="N24">
        <f t="shared" si="6"/>
        <v>0</v>
      </c>
      <c r="O24">
        <f t="shared" si="7"/>
        <v>1000</v>
      </c>
      <c r="P24">
        <f t="shared" si="8"/>
        <v>0</v>
      </c>
      <c r="Q24">
        <f>Q23+(Q23*E24/100)</f>
        <v>1001.4242738027584</v>
      </c>
    </row>
    <row r="25" spans="1:17" x14ac:dyDescent="0.25">
      <c r="A25" s="1">
        <v>45079</v>
      </c>
      <c r="B25">
        <v>0.72797016737640097</v>
      </c>
      <c r="C25">
        <v>1.4008856393623501</v>
      </c>
      <c r="D25">
        <v>2.57045429504032</v>
      </c>
      <c r="E25">
        <v>1.79271352550662</v>
      </c>
      <c r="G25">
        <f t="shared" si="0"/>
        <v>-0.29352355118185097</v>
      </c>
      <c r="H25" t="str">
        <f>IF(F25&gt;$T$2,"buy",IF(F25&lt;0,"sell","keep"))</f>
        <v>keep</v>
      </c>
      <c r="I25" t="str">
        <f t="shared" si="4"/>
        <v>sell</v>
      </c>
      <c r="J25">
        <f t="shared" si="1"/>
        <v>0</v>
      </c>
      <c r="K25" t="str">
        <f>IF(AND(I25="sell",P24&lt;&gt;0),"sell",IF(AND(I25="buy",O24&lt;&gt;0),"buy","keep"))</f>
        <v>keep</v>
      </c>
      <c r="L25">
        <f t="shared" si="2"/>
        <v>0</v>
      </c>
      <c r="M25">
        <f t="shared" si="3"/>
        <v>0</v>
      </c>
      <c r="N25">
        <f t="shared" si="6"/>
        <v>0</v>
      </c>
      <c r="O25">
        <f t="shared" si="7"/>
        <v>1000</v>
      </c>
      <c r="P25">
        <f t="shared" si="8"/>
        <v>0</v>
      </c>
      <c r="Q25">
        <f>Q24+(Q24*E25/100)</f>
        <v>1019.376942206927</v>
      </c>
    </row>
    <row r="26" spans="1:17" x14ac:dyDescent="0.25">
      <c r="A26" s="1">
        <v>45082</v>
      </c>
      <c r="B26">
        <v>6.7784394202408102E-2</v>
      </c>
      <c r="C26">
        <v>0.64916199437612399</v>
      </c>
      <c r="D26">
        <v>-7.3194058193726003E-3</v>
      </c>
      <c r="E26">
        <v>-0.29352355118185097</v>
      </c>
      <c r="G26">
        <f t="shared" si="0"/>
        <v>0.31279325348623199</v>
      </c>
      <c r="H26" t="str">
        <f>IF(F26&gt;$T$2,"buy",IF(F26&lt;0,"sell","keep"))</f>
        <v>keep</v>
      </c>
      <c r="I26" t="str">
        <f t="shared" si="4"/>
        <v>sell</v>
      </c>
      <c r="J26">
        <f t="shared" si="1"/>
        <v>0</v>
      </c>
      <c r="K26" t="str">
        <f>IF(AND(I26="sell",P25&lt;&gt;0),"sell",IF(AND(I26="buy",O25&lt;&gt;0),"buy","keep"))</f>
        <v>keep</v>
      </c>
      <c r="L26">
        <f t="shared" si="2"/>
        <v>0</v>
      </c>
      <c r="M26">
        <f t="shared" si="3"/>
        <v>0</v>
      </c>
      <c r="N26">
        <f t="shared" si="6"/>
        <v>0</v>
      </c>
      <c r="O26">
        <f t="shared" si="7"/>
        <v>1000</v>
      </c>
      <c r="P26">
        <f t="shared" si="8"/>
        <v>0</v>
      </c>
      <c r="Q26">
        <f>Q25+(Q25*E26/100)</f>
        <v>1016.3848308062322</v>
      </c>
    </row>
    <row r="27" spans="1:17" x14ac:dyDescent="0.25">
      <c r="A27" s="1">
        <v>45083</v>
      </c>
      <c r="B27">
        <v>1.09218819771328E-2</v>
      </c>
      <c r="C27">
        <v>-0.84617372574179395</v>
      </c>
      <c r="D27">
        <v>-1.04485548163584</v>
      </c>
      <c r="E27">
        <v>0.31279325348623199</v>
      </c>
      <c r="G27">
        <f t="shared" si="0"/>
        <v>-0.40352767677349599</v>
      </c>
      <c r="H27" t="str">
        <f>IF(F27&gt;$T$2,"buy",IF(F27&lt;0,"sell","keep"))</f>
        <v>keep</v>
      </c>
      <c r="I27" t="str">
        <f t="shared" si="4"/>
        <v>sell</v>
      </c>
      <c r="J27">
        <f t="shared" si="1"/>
        <v>0</v>
      </c>
      <c r="K27" t="str">
        <f>IF(AND(I27="sell",P26&lt;&gt;0),"sell",IF(AND(I27="buy",O26&lt;&gt;0),"buy","keep"))</f>
        <v>keep</v>
      </c>
      <c r="L27">
        <f t="shared" si="2"/>
        <v>0</v>
      </c>
      <c r="M27">
        <f t="shared" si="3"/>
        <v>0</v>
      </c>
      <c r="N27">
        <f t="shared" si="6"/>
        <v>0</v>
      </c>
      <c r="O27">
        <f t="shared" si="7"/>
        <v>1000</v>
      </c>
      <c r="P27">
        <f t="shared" si="8"/>
        <v>0</v>
      </c>
      <c r="Q27">
        <f>Q26+(Q26*E27/100)</f>
        <v>1019.5640139864515</v>
      </c>
    </row>
    <row r="28" spans="1:17" x14ac:dyDescent="0.25">
      <c r="A28" s="1">
        <v>45084</v>
      </c>
      <c r="B28">
        <v>-1.75022827460354</v>
      </c>
      <c r="C28">
        <v>0.70884301276496997</v>
      </c>
      <c r="D28">
        <v>0.79007290224082305</v>
      </c>
      <c r="E28">
        <v>-0.40352767677349599</v>
      </c>
      <c r="G28">
        <f t="shared" si="0"/>
        <v>-0.33149597496670002</v>
      </c>
      <c r="H28" t="str">
        <f>IF(F28&gt;$T$2,"buy",IF(F28&lt;0,"sell","keep"))</f>
        <v>keep</v>
      </c>
      <c r="I28" t="str">
        <f t="shared" si="4"/>
        <v>sell</v>
      </c>
      <c r="J28">
        <f t="shared" si="1"/>
        <v>0</v>
      </c>
      <c r="K28" t="str">
        <f>IF(AND(I28="sell",P27&lt;&gt;0),"sell",IF(AND(I28="buy",O27&lt;&gt;0),"buy","keep"))</f>
        <v>keep</v>
      </c>
      <c r="L28">
        <f t="shared" si="2"/>
        <v>0</v>
      </c>
      <c r="M28">
        <f t="shared" si="3"/>
        <v>0</v>
      </c>
      <c r="N28">
        <f t="shared" si="6"/>
        <v>0</v>
      </c>
      <c r="O28">
        <f t="shared" si="7"/>
        <v>1000</v>
      </c>
      <c r="P28">
        <f t="shared" si="8"/>
        <v>0</v>
      </c>
      <c r="Q28">
        <f>Q27+(Q27*E28/100)</f>
        <v>1015.4497910075934</v>
      </c>
    </row>
    <row r="29" spans="1:17" x14ac:dyDescent="0.25">
      <c r="A29" s="1">
        <v>45085</v>
      </c>
      <c r="B29">
        <v>1.2671909714828</v>
      </c>
      <c r="C29">
        <v>-2.2080221209208599E-2</v>
      </c>
      <c r="D29">
        <v>0.83515564542069298</v>
      </c>
      <c r="E29">
        <v>-0.33149597496670002</v>
      </c>
      <c r="G29">
        <f t="shared" si="0"/>
        <v>-1.99555962523785</v>
      </c>
      <c r="H29" t="str">
        <f>IF(F29&gt;$T$2,"buy",IF(F29&lt;0,"sell","keep"))</f>
        <v>keep</v>
      </c>
      <c r="I29" t="str">
        <f t="shared" si="4"/>
        <v>sell</v>
      </c>
      <c r="J29">
        <f t="shared" si="1"/>
        <v>0</v>
      </c>
      <c r="K29" t="str">
        <f>IF(AND(I29="sell",P28&lt;&gt;0),"sell",IF(AND(I29="buy",O28&lt;&gt;0),"buy","keep"))</f>
        <v>keep</v>
      </c>
      <c r="L29">
        <f t="shared" si="2"/>
        <v>0</v>
      </c>
      <c r="M29">
        <f t="shared" si="3"/>
        <v>0</v>
      </c>
      <c r="N29">
        <f t="shared" si="6"/>
        <v>0</v>
      </c>
      <c r="O29">
        <f t="shared" si="7"/>
        <v>1000</v>
      </c>
      <c r="P29">
        <f t="shared" si="8"/>
        <v>0</v>
      </c>
      <c r="Q29">
        <f>Q28+(Q28*E29/100)</f>
        <v>1012.0836158225954</v>
      </c>
    </row>
    <row r="30" spans="1:17" x14ac:dyDescent="0.25">
      <c r="A30" s="1">
        <v>45086</v>
      </c>
      <c r="B30">
        <v>0.30253161220048502</v>
      </c>
      <c r="C30">
        <v>-0.40030652967353297</v>
      </c>
      <c r="D30">
        <v>0.39232063079823698</v>
      </c>
      <c r="E30">
        <v>-1.99555962523785</v>
      </c>
      <c r="G30">
        <f t="shared" si="0"/>
        <v>-1.09351317941431</v>
      </c>
      <c r="H30" t="str">
        <f>IF(F30&gt;$T$2,"buy",IF(F30&lt;0,"sell","keep"))</f>
        <v>keep</v>
      </c>
      <c r="I30" t="str">
        <f t="shared" si="4"/>
        <v>sell</v>
      </c>
      <c r="J30">
        <f t="shared" si="1"/>
        <v>0</v>
      </c>
      <c r="K30" t="str">
        <f>IF(AND(I30="sell",P29&lt;&gt;0),"sell",IF(AND(I30="buy",O29&lt;&gt;0),"buy","keep"))</f>
        <v>keep</v>
      </c>
      <c r="L30">
        <f t="shared" si="2"/>
        <v>0</v>
      </c>
      <c r="M30">
        <f t="shared" si="3"/>
        <v>0</v>
      </c>
      <c r="N30">
        <f t="shared" si="6"/>
        <v>0</v>
      </c>
      <c r="O30">
        <f t="shared" si="7"/>
        <v>1000</v>
      </c>
      <c r="P30">
        <f t="shared" si="8"/>
        <v>0</v>
      </c>
      <c r="Q30">
        <f>Q29+(Q29*E30/100)</f>
        <v>991.88688381159238</v>
      </c>
    </row>
    <row r="31" spans="1:17" x14ac:dyDescent="0.25">
      <c r="A31" s="1">
        <v>45089</v>
      </c>
      <c r="B31">
        <v>1.7616540816147399</v>
      </c>
      <c r="C31">
        <v>0.34646767074637502</v>
      </c>
      <c r="D31">
        <v>-0.32564709601156</v>
      </c>
      <c r="E31">
        <v>-1.09351317941431</v>
      </c>
      <c r="G31">
        <f t="shared" si="0"/>
        <v>0.57186619342650602</v>
      </c>
      <c r="H31" t="str">
        <f>IF(F31&gt;$T$2,"buy",IF(F31&lt;0,"sell","keep"))</f>
        <v>keep</v>
      </c>
      <c r="I31" t="str">
        <f t="shared" si="4"/>
        <v>sell</v>
      </c>
      <c r="J31">
        <f t="shared" si="1"/>
        <v>0</v>
      </c>
      <c r="K31" t="str">
        <f>IF(AND(I31="sell",P30&lt;&gt;0),"sell",IF(AND(I31="buy",O30&lt;&gt;0),"buy","keep"))</f>
        <v>keep</v>
      </c>
      <c r="L31">
        <f t="shared" si="2"/>
        <v>0</v>
      </c>
      <c r="M31">
        <f t="shared" si="3"/>
        <v>0</v>
      </c>
      <c r="N31">
        <f t="shared" si="6"/>
        <v>0</v>
      </c>
      <c r="O31">
        <f t="shared" si="7"/>
        <v>1000</v>
      </c>
      <c r="P31">
        <f t="shared" si="8"/>
        <v>0</v>
      </c>
      <c r="Q31">
        <f>Q30+(Q30*E31/100)</f>
        <v>981.04047001223068</v>
      </c>
    </row>
    <row r="32" spans="1:17" x14ac:dyDescent="0.25">
      <c r="A32" s="1">
        <v>45090</v>
      </c>
      <c r="B32">
        <v>0.78833496497783195</v>
      </c>
      <c r="C32">
        <v>3.1076603309756199</v>
      </c>
      <c r="D32">
        <v>0.42112846277832999</v>
      </c>
      <c r="E32">
        <v>0.57186619342650602</v>
      </c>
      <c r="G32">
        <f t="shared" si="0"/>
        <v>1.0424598789873001</v>
      </c>
      <c r="H32" t="str">
        <f>IF(F32&gt;$T$2,"buy",IF(F32&lt;0,"sell","keep"))</f>
        <v>keep</v>
      </c>
      <c r="I32" t="str">
        <f t="shared" si="4"/>
        <v>sell</v>
      </c>
      <c r="J32">
        <f t="shared" si="1"/>
        <v>0</v>
      </c>
      <c r="K32" t="str">
        <f>IF(AND(I32="sell",P31&lt;&gt;0),"sell",IF(AND(I32="buy",O31&lt;&gt;0),"buy","keep"))</f>
        <v>keep</v>
      </c>
      <c r="L32">
        <f t="shared" si="2"/>
        <v>0</v>
      </c>
      <c r="M32">
        <f t="shared" si="3"/>
        <v>0</v>
      </c>
      <c r="N32">
        <f t="shared" si="6"/>
        <v>0</v>
      </c>
      <c r="O32">
        <f t="shared" si="7"/>
        <v>1000</v>
      </c>
      <c r="P32">
        <f t="shared" si="8"/>
        <v>0</v>
      </c>
      <c r="Q32">
        <f>Q31+(Q31*E32/100)</f>
        <v>986.65070880406313</v>
      </c>
    </row>
    <row r="33" spans="1:17" x14ac:dyDescent="0.25">
      <c r="A33" s="1">
        <v>45091</v>
      </c>
      <c r="B33">
        <v>0.70358954731373202</v>
      </c>
      <c r="C33">
        <v>0.28129938945726701</v>
      </c>
      <c r="D33">
        <v>-1.5038747770690299</v>
      </c>
      <c r="E33">
        <v>1.0424598789873001</v>
      </c>
      <c r="G33">
        <f t="shared" si="0"/>
        <v>-0.30013069652775598</v>
      </c>
      <c r="H33" t="str">
        <f>IF(F33&gt;$T$2,"buy",IF(F33&lt;0,"sell","keep"))</f>
        <v>keep</v>
      </c>
      <c r="I33" t="str">
        <f t="shared" si="4"/>
        <v>sell</v>
      </c>
      <c r="J33">
        <f t="shared" si="1"/>
        <v>0</v>
      </c>
      <c r="K33" t="str">
        <f>IF(AND(I33="sell",P32&lt;&gt;0),"sell",IF(AND(I33="buy",O32&lt;&gt;0),"buy","keep"))</f>
        <v>keep</v>
      </c>
      <c r="L33">
        <f t="shared" si="2"/>
        <v>0</v>
      </c>
      <c r="M33">
        <f t="shared" si="3"/>
        <v>0</v>
      </c>
      <c r="N33">
        <f t="shared" si="6"/>
        <v>0</v>
      </c>
      <c r="O33">
        <f t="shared" si="7"/>
        <v>1000</v>
      </c>
      <c r="P33">
        <f t="shared" si="8"/>
        <v>0</v>
      </c>
      <c r="Q33">
        <f>Q32+(Q32*E33/100)</f>
        <v>996.93614658908928</v>
      </c>
    </row>
    <row r="34" spans="1:17" x14ac:dyDescent="0.25">
      <c r="A34" s="1">
        <v>45092</v>
      </c>
      <c r="B34">
        <v>1.1981457294814</v>
      </c>
      <c r="C34">
        <v>0.56905060313168199</v>
      </c>
      <c r="D34">
        <v>-0.24958980498472799</v>
      </c>
      <c r="E34">
        <v>-0.30013069652775598</v>
      </c>
      <c r="G34">
        <f t="shared" si="0"/>
        <v>-0.65852383368613099</v>
      </c>
      <c r="H34" t="str">
        <f>IF(F34&gt;$T$2,"buy",IF(F34&lt;0,"sell","keep"))</f>
        <v>keep</v>
      </c>
      <c r="I34" t="str">
        <f t="shared" si="4"/>
        <v>sell</v>
      </c>
      <c r="J34">
        <f t="shared" si="1"/>
        <v>0</v>
      </c>
      <c r="K34" t="str">
        <f>IF(AND(I34="sell",P33&lt;&gt;0),"sell",IF(AND(I34="buy",O33&lt;&gt;0),"buy","keep"))</f>
        <v>keep</v>
      </c>
      <c r="L34">
        <f t="shared" si="2"/>
        <v>0</v>
      </c>
      <c r="M34">
        <f t="shared" si="3"/>
        <v>0</v>
      </c>
      <c r="N34">
        <f t="shared" si="6"/>
        <v>0</v>
      </c>
      <c r="O34">
        <f t="shared" si="7"/>
        <v>1000</v>
      </c>
      <c r="P34">
        <f t="shared" si="8"/>
        <v>0</v>
      </c>
      <c r="Q34">
        <f>Q33+(Q33*E34/100)</f>
        <v>993.94403518839442</v>
      </c>
    </row>
    <row r="35" spans="1:17" x14ac:dyDescent="0.25">
      <c r="A35" s="1">
        <v>45093</v>
      </c>
      <c r="B35">
        <v>-0.66880035231021695</v>
      </c>
      <c r="C35">
        <v>-0.30548800411379601</v>
      </c>
      <c r="D35">
        <v>2.0237008851714902</v>
      </c>
      <c r="E35">
        <v>-0.65852383368613099</v>
      </c>
      <c r="G35">
        <f t="shared" si="0"/>
        <v>-0.17107233194098001</v>
      </c>
      <c r="H35" t="str">
        <f>IF(F35&gt;$T$2,"buy",IF(F35&lt;0,"sell","keep"))</f>
        <v>keep</v>
      </c>
      <c r="I35" t="str">
        <f t="shared" si="4"/>
        <v>sell</v>
      </c>
      <c r="J35">
        <f t="shared" si="1"/>
        <v>0</v>
      </c>
      <c r="K35" t="str">
        <f>IF(AND(I35="sell",P34&lt;&gt;0),"sell",IF(AND(I35="buy",O34&lt;&gt;0),"buy","keep"))</f>
        <v>keep</v>
      </c>
      <c r="L35">
        <f t="shared" si="2"/>
        <v>0</v>
      </c>
      <c r="M35">
        <f t="shared" si="3"/>
        <v>0</v>
      </c>
      <c r="N35">
        <f t="shared" si="6"/>
        <v>0</v>
      </c>
      <c r="O35">
        <f t="shared" si="7"/>
        <v>1000</v>
      </c>
      <c r="P35">
        <f t="shared" si="8"/>
        <v>0</v>
      </c>
      <c r="Q35">
        <f>Q34+(Q34*E35/100)</f>
        <v>987.3986768231772</v>
      </c>
    </row>
    <row r="36" spans="1:17" x14ac:dyDescent="0.25">
      <c r="A36" s="1">
        <v>45098</v>
      </c>
      <c r="B36">
        <v>-1.3450442766556401</v>
      </c>
      <c r="C36">
        <v>0.534362554524769</v>
      </c>
      <c r="D36">
        <v>-0.69658446678141295</v>
      </c>
      <c r="E36">
        <v>-0.17107233194098001</v>
      </c>
      <c r="G36">
        <f t="shared" si="0"/>
        <v>-0.47600261767325402</v>
      </c>
      <c r="H36" t="str">
        <f>IF(F36&gt;$T$2,"buy",IF(F36&lt;0,"sell","keep"))</f>
        <v>keep</v>
      </c>
      <c r="I36" t="str">
        <f t="shared" si="4"/>
        <v>sell</v>
      </c>
      <c r="J36">
        <f t="shared" si="1"/>
        <v>0</v>
      </c>
      <c r="K36" t="str">
        <f>IF(AND(I36="sell",P35&lt;&gt;0),"sell",IF(AND(I36="buy",O35&lt;&gt;0),"buy","keep"))</f>
        <v>keep</v>
      </c>
      <c r="L36">
        <f t="shared" si="2"/>
        <v>0</v>
      </c>
      <c r="M36">
        <f t="shared" si="3"/>
        <v>0</v>
      </c>
      <c r="N36">
        <f t="shared" si="6"/>
        <v>0</v>
      </c>
      <c r="O36">
        <f t="shared" si="7"/>
        <v>1000</v>
      </c>
      <c r="P36">
        <f t="shared" si="8"/>
        <v>0</v>
      </c>
      <c r="Q36">
        <f>Q35+(Q35*E36/100)</f>
        <v>985.70951088118136</v>
      </c>
    </row>
    <row r="37" spans="1:17" x14ac:dyDescent="0.25">
      <c r="A37" s="1">
        <v>45099</v>
      </c>
      <c r="B37">
        <v>1.1761944038166801</v>
      </c>
      <c r="C37">
        <v>0.53690297350728</v>
      </c>
      <c r="D37">
        <v>0.40188264711498101</v>
      </c>
      <c r="E37">
        <v>-0.47600261767325402</v>
      </c>
      <c r="G37">
        <f t="shared" si="0"/>
        <v>1.05222412006502</v>
      </c>
      <c r="H37" t="str">
        <f>IF(F37&gt;$T$2,"buy",IF(F37&lt;0,"sell","keep"))</f>
        <v>keep</v>
      </c>
      <c r="I37" t="str">
        <f t="shared" si="4"/>
        <v>sell</v>
      </c>
      <c r="J37">
        <f t="shared" si="1"/>
        <v>0</v>
      </c>
      <c r="K37" t="str">
        <f>IF(AND(I37="sell",P36&lt;&gt;0),"sell",IF(AND(I37="buy",O36&lt;&gt;0),"buy","keep"))</f>
        <v>keep</v>
      </c>
      <c r="L37">
        <f t="shared" si="2"/>
        <v>0</v>
      </c>
      <c r="M37">
        <f t="shared" si="3"/>
        <v>0</v>
      </c>
      <c r="N37">
        <f t="shared" si="6"/>
        <v>0</v>
      </c>
      <c r="O37">
        <f t="shared" si="7"/>
        <v>1000</v>
      </c>
      <c r="P37">
        <f t="shared" si="8"/>
        <v>0</v>
      </c>
      <c r="Q37">
        <f>Q36+(Q36*E37/100)</f>
        <v>981.01750780673274</v>
      </c>
    </row>
    <row r="38" spans="1:17" x14ac:dyDescent="0.25">
      <c r="A38" s="1">
        <v>45100</v>
      </c>
      <c r="B38">
        <v>-1.00276978960921</v>
      </c>
      <c r="C38">
        <v>-0.55014227030156704</v>
      </c>
      <c r="D38">
        <v>-1.08436186159209</v>
      </c>
      <c r="E38">
        <v>1.05222412006502</v>
      </c>
      <c r="G38">
        <f t="shared" si="0"/>
        <v>0.435437730974985</v>
      </c>
      <c r="H38" t="str">
        <f>IF(F38&gt;$T$2,"buy",IF(F38&lt;0,"sell","keep"))</f>
        <v>keep</v>
      </c>
      <c r="I38" t="str">
        <f t="shared" si="4"/>
        <v>sell</v>
      </c>
      <c r="J38">
        <f t="shared" si="1"/>
        <v>0</v>
      </c>
      <c r="K38" t="str">
        <f>IF(AND(I38="sell",P37&lt;&gt;0),"sell",IF(AND(I38="buy",O37&lt;&gt;0),"buy","keep"))</f>
        <v>keep</v>
      </c>
      <c r="L38">
        <f t="shared" si="2"/>
        <v>0</v>
      </c>
      <c r="M38">
        <f t="shared" si="3"/>
        <v>0</v>
      </c>
      <c r="N38">
        <f t="shared" si="6"/>
        <v>0</v>
      </c>
      <c r="O38">
        <f t="shared" si="7"/>
        <v>1000</v>
      </c>
      <c r="P38">
        <f t="shared" si="8"/>
        <v>0</v>
      </c>
      <c r="Q38">
        <f>Q37+(Q37*E38/100)</f>
        <v>991.34001064593588</v>
      </c>
    </row>
    <row r="39" spans="1:17" x14ac:dyDescent="0.25">
      <c r="A39" s="1">
        <v>45103</v>
      </c>
      <c r="B39">
        <v>-1.35957561724548</v>
      </c>
      <c r="C39">
        <v>3.2382797482632897E-2</v>
      </c>
      <c r="D39">
        <v>-0.71363686011683902</v>
      </c>
      <c r="E39">
        <v>0.435437730974985</v>
      </c>
      <c r="G39">
        <f t="shared" si="0"/>
        <v>0.88595642033946198</v>
      </c>
      <c r="H39" t="str">
        <f>IF(F39&gt;$T$2,"buy",IF(F39&lt;0,"sell","keep"))</f>
        <v>keep</v>
      </c>
      <c r="I39" t="str">
        <f t="shared" si="4"/>
        <v>sell</v>
      </c>
      <c r="J39">
        <f t="shared" si="1"/>
        <v>0</v>
      </c>
      <c r="K39" t="str">
        <f>IF(AND(I39="sell",P38&lt;&gt;0),"sell",IF(AND(I39="buy",O38&lt;&gt;0),"buy","keep"))</f>
        <v>keep</v>
      </c>
      <c r="L39">
        <f t="shared" si="2"/>
        <v>0</v>
      </c>
      <c r="M39">
        <f t="shared" si="3"/>
        <v>0</v>
      </c>
      <c r="N39">
        <f t="shared" si="6"/>
        <v>0</v>
      </c>
      <c r="O39">
        <f t="shared" si="7"/>
        <v>1000</v>
      </c>
      <c r="P39">
        <f t="shared" si="8"/>
        <v>0</v>
      </c>
      <c r="Q39">
        <f>Q38+(Q38*E39/100)</f>
        <v>995.65667909453975</v>
      </c>
    </row>
    <row r="40" spans="1:17" x14ac:dyDescent="0.25">
      <c r="A40" s="1">
        <v>45104</v>
      </c>
      <c r="B40">
        <v>1.74886162043341</v>
      </c>
      <c r="C40">
        <v>1.35956071559728</v>
      </c>
      <c r="D40">
        <v>-1.74137326920325</v>
      </c>
      <c r="E40">
        <v>0.88595642033946198</v>
      </c>
      <c r="G40">
        <f t="shared" si="0"/>
        <v>0.14948052449059701</v>
      </c>
      <c r="H40" t="str">
        <f>IF(F40&gt;$T$2,"buy",IF(F40&lt;0,"sell","keep"))</f>
        <v>keep</v>
      </c>
      <c r="I40" t="str">
        <f t="shared" si="4"/>
        <v>sell</v>
      </c>
      <c r="J40">
        <f t="shared" si="1"/>
        <v>0</v>
      </c>
      <c r="K40" t="str">
        <f>IF(AND(I40="sell",P39&lt;&gt;0),"sell",IF(AND(I40="buy",O39&lt;&gt;0),"buy","keep"))</f>
        <v>keep</v>
      </c>
      <c r="L40">
        <f t="shared" si="2"/>
        <v>0</v>
      </c>
      <c r="M40">
        <f t="shared" si="3"/>
        <v>0</v>
      </c>
      <c r="N40">
        <f t="shared" si="6"/>
        <v>0</v>
      </c>
      <c r="O40">
        <f t="shared" si="7"/>
        <v>1000</v>
      </c>
      <c r="P40">
        <f t="shared" si="8"/>
        <v>0</v>
      </c>
      <c r="Q40">
        <f>Q39+(Q39*E40/100)</f>
        <v>1004.4777633675166</v>
      </c>
    </row>
    <row r="41" spans="1:17" x14ac:dyDescent="0.25">
      <c r="A41" s="1">
        <v>45105</v>
      </c>
      <c r="B41">
        <v>0.12485125398802301</v>
      </c>
      <c r="C41">
        <v>-0.20759343549275799</v>
      </c>
      <c r="D41">
        <v>-6.7906987442833897E-2</v>
      </c>
      <c r="E41">
        <v>0.14948052449059701</v>
      </c>
      <c r="G41">
        <f t="shared" si="0"/>
        <v>-0.22388612058859</v>
      </c>
      <c r="H41" t="str">
        <f>IF(F41&gt;$T$2,"buy",IF(F41&lt;0,"sell","keep"))</f>
        <v>keep</v>
      </c>
      <c r="I41" t="str">
        <f t="shared" si="4"/>
        <v>sell</v>
      </c>
      <c r="J41">
        <f t="shared" si="1"/>
        <v>0</v>
      </c>
      <c r="K41" t="str">
        <f>IF(AND(I41="sell",P40&lt;&gt;0),"sell",IF(AND(I41="buy",O40&lt;&gt;0),"buy","keep"))</f>
        <v>keep</v>
      </c>
      <c r="L41">
        <f t="shared" si="2"/>
        <v>0</v>
      </c>
      <c r="M41">
        <f t="shared" si="3"/>
        <v>0</v>
      </c>
      <c r="N41">
        <f t="shared" si="6"/>
        <v>0</v>
      </c>
      <c r="O41">
        <f t="shared" si="7"/>
        <v>1000</v>
      </c>
      <c r="P41">
        <f t="shared" si="8"/>
        <v>0</v>
      </c>
      <c r="Q41">
        <f>Q40+(Q40*E41/100)</f>
        <v>1005.9792619965897</v>
      </c>
    </row>
    <row r="42" spans="1:17" x14ac:dyDescent="0.25">
      <c r="A42" s="1">
        <v>45106</v>
      </c>
      <c r="B42">
        <v>-0.16452271380578101</v>
      </c>
      <c r="C42">
        <v>1.1254270282297001</v>
      </c>
      <c r="D42">
        <v>0.54336436104598296</v>
      </c>
      <c r="E42">
        <v>-0.22388612058859</v>
      </c>
      <c r="G42">
        <f t="shared" si="0"/>
        <v>1.0658194288004099</v>
      </c>
      <c r="H42" t="str">
        <f>IF(F42&gt;$T$2,"buy",IF(F42&lt;0,"sell","keep"))</f>
        <v>keep</v>
      </c>
      <c r="I42" t="str">
        <f t="shared" si="4"/>
        <v>sell</v>
      </c>
      <c r="J42">
        <f t="shared" si="1"/>
        <v>0</v>
      </c>
      <c r="K42" t="str">
        <f>IF(AND(I42="sell",P41&lt;&gt;0),"sell",IF(AND(I42="buy",O41&lt;&gt;0),"buy","keep"))</f>
        <v>keep</v>
      </c>
      <c r="L42">
        <f t="shared" si="2"/>
        <v>0</v>
      </c>
      <c r="M42">
        <f t="shared" si="3"/>
        <v>0</v>
      </c>
      <c r="N42">
        <f t="shared" si="6"/>
        <v>0</v>
      </c>
      <c r="O42">
        <f t="shared" si="7"/>
        <v>1000</v>
      </c>
      <c r="P42">
        <f t="shared" si="8"/>
        <v>0</v>
      </c>
      <c r="Q42">
        <f>Q41+(Q41*E42/100)</f>
        <v>1003.7270140529798</v>
      </c>
    </row>
    <row r="43" spans="1:17" x14ac:dyDescent="0.25">
      <c r="A43" s="1">
        <v>45107</v>
      </c>
      <c r="B43">
        <v>1.6014763268760299</v>
      </c>
      <c r="C43">
        <v>0.49843046085791198</v>
      </c>
      <c r="D43">
        <v>1.1258898119085901</v>
      </c>
      <c r="E43">
        <v>1.0658194288004099</v>
      </c>
      <c r="G43">
        <f t="shared" si="0"/>
        <v>0.72155025138200801</v>
      </c>
      <c r="H43" t="str">
        <f>IF(F43&gt;$T$2,"buy",IF(F43&lt;0,"sell","keep"))</f>
        <v>keep</v>
      </c>
      <c r="I43" t="str">
        <f t="shared" si="4"/>
        <v>sell</v>
      </c>
      <c r="J43">
        <f t="shared" si="1"/>
        <v>0</v>
      </c>
      <c r="K43" t="str">
        <f>IF(AND(I43="sell",P42&lt;&gt;0),"sell",IF(AND(I43="buy",O42&lt;&gt;0),"buy","keep"))</f>
        <v>keep</v>
      </c>
      <c r="L43">
        <f t="shared" si="2"/>
        <v>0</v>
      </c>
      <c r="M43">
        <f t="shared" si="3"/>
        <v>0</v>
      </c>
      <c r="N43">
        <f t="shared" si="6"/>
        <v>0</v>
      </c>
      <c r="O43">
        <f t="shared" si="7"/>
        <v>1000</v>
      </c>
      <c r="P43">
        <f t="shared" si="8"/>
        <v>0</v>
      </c>
      <c r="Q43">
        <f>Q42+(Q42*E43/100)</f>
        <v>1014.4249315808747</v>
      </c>
    </row>
    <row r="44" spans="1:17" x14ac:dyDescent="0.25">
      <c r="A44" s="1">
        <v>45110</v>
      </c>
      <c r="B44">
        <v>0.194216094420363</v>
      </c>
      <c r="C44">
        <v>-0.76623547129777103</v>
      </c>
      <c r="D44">
        <v>0.207792100585701</v>
      </c>
      <c r="E44">
        <v>0.72155025138200801</v>
      </c>
      <c r="G44">
        <f t="shared" si="0"/>
        <v>-2.1346127200292599</v>
      </c>
      <c r="H44" t="str">
        <f>IF(F44&gt;$T$2,"buy",IF(F44&lt;0,"sell","keep"))</f>
        <v>keep</v>
      </c>
      <c r="I44" t="str">
        <f t="shared" si="4"/>
        <v>sell</v>
      </c>
      <c r="J44">
        <f t="shared" si="1"/>
        <v>0</v>
      </c>
      <c r="K44" t="str">
        <f>IF(AND(I44="sell",P43&lt;&gt;0),"sell",IF(AND(I44="buy",O43&lt;&gt;0),"buy","keep"))</f>
        <v>keep</v>
      </c>
      <c r="L44">
        <f t="shared" si="2"/>
        <v>0</v>
      </c>
      <c r="M44">
        <f t="shared" si="3"/>
        <v>0</v>
      </c>
      <c r="N44">
        <f t="shared" si="6"/>
        <v>0</v>
      </c>
      <c r="O44">
        <f t="shared" si="7"/>
        <v>1000</v>
      </c>
      <c r="P44">
        <f t="shared" si="8"/>
        <v>0</v>
      </c>
      <c r="Q44">
        <f>Q43+(Q43*E44/100)</f>
        <v>1021.7445172247783</v>
      </c>
    </row>
    <row r="45" spans="1:17" x14ac:dyDescent="0.25">
      <c r="A45" s="1">
        <v>45113</v>
      </c>
      <c r="B45">
        <v>-0.75198454640090695</v>
      </c>
      <c r="C45">
        <v>-0.73794042427606199</v>
      </c>
      <c r="D45">
        <v>-0.26885237510958498</v>
      </c>
      <c r="E45">
        <v>-2.1346127200292599</v>
      </c>
      <c r="G45">
        <f t="shared" si="0"/>
        <v>-0.37335721567725</v>
      </c>
      <c r="H45" t="str">
        <f>IF(F45&gt;$T$2,"buy",IF(F45&lt;0,"sell","keep"))</f>
        <v>keep</v>
      </c>
      <c r="I45" t="str">
        <f t="shared" si="4"/>
        <v>sell</v>
      </c>
      <c r="J45">
        <f t="shared" si="1"/>
        <v>0</v>
      </c>
      <c r="K45" t="str">
        <f>IF(AND(I45="sell",P44&lt;&gt;0),"sell",IF(AND(I45="buy",O44&lt;&gt;0),"buy","keep"))</f>
        <v>keep</v>
      </c>
      <c r="L45">
        <f t="shared" si="2"/>
        <v>0</v>
      </c>
      <c r="M45">
        <f t="shared" si="3"/>
        <v>0</v>
      </c>
      <c r="N45">
        <f t="shared" si="6"/>
        <v>0</v>
      </c>
      <c r="O45">
        <f t="shared" si="7"/>
        <v>1000</v>
      </c>
      <c r="P45">
        <f t="shared" si="8"/>
        <v>0</v>
      </c>
      <c r="Q45">
        <f>Q44+(Q44*E45/100)</f>
        <v>999.93422879389664</v>
      </c>
    </row>
    <row r="46" spans="1:17" x14ac:dyDescent="0.25">
      <c r="A46" s="1">
        <v>45114</v>
      </c>
      <c r="B46">
        <v>-0.348591799281328</v>
      </c>
      <c r="C46">
        <v>-5.4710103434939998E-3</v>
      </c>
      <c r="D46">
        <v>-1.2750416124756001</v>
      </c>
      <c r="E46">
        <v>-0.37335721567725</v>
      </c>
      <c r="G46">
        <f t="shared" si="0"/>
        <v>0.31558123337091998</v>
      </c>
      <c r="H46" t="str">
        <f>IF(F46&gt;$T$2,"buy",IF(F46&lt;0,"sell","keep"))</f>
        <v>keep</v>
      </c>
      <c r="I46" t="str">
        <f t="shared" si="4"/>
        <v>sell</v>
      </c>
      <c r="J46">
        <f t="shared" si="1"/>
        <v>0</v>
      </c>
      <c r="K46" t="str">
        <f>IF(AND(I46="sell",P45&lt;&gt;0),"sell",IF(AND(I46="buy",O45&lt;&gt;0),"buy","keep"))</f>
        <v>keep</v>
      </c>
      <c r="L46">
        <f t="shared" si="2"/>
        <v>0</v>
      </c>
      <c r="M46">
        <f t="shared" si="3"/>
        <v>0</v>
      </c>
      <c r="N46">
        <f t="shared" si="6"/>
        <v>0</v>
      </c>
      <c r="O46">
        <f t="shared" si="7"/>
        <v>1000</v>
      </c>
      <c r="P46">
        <f t="shared" si="8"/>
        <v>0</v>
      </c>
      <c r="Q46">
        <f>Q45+(Q45*E46/100)</f>
        <v>996.20090219866802</v>
      </c>
    </row>
    <row r="47" spans="1:17" x14ac:dyDescent="0.25">
      <c r="A47" s="1">
        <v>45117</v>
      </c>
      <c r="B47">
        <v>5.8456653427052502E-2</v>
      </c>
      <c r="C47">
        <v>0.83398144871635804</v>
      </c>
      <c r="D47">
        <v>-0.74538516531050802</v>
      </c>
      <c r="E47">
        <v>0.31558123337091998</v>
      </c>
      <c r="G47">
        <f t="shared" si="0"/>
        <v>1.5139616396175199</v>
      </c>
      <c r="H47" t="str">
        <f>IF(F47&gt;$T$2,"buy",IF(F47&lt;0,"sell","keep"))</f>
        <v>keep</v>
      </c>
      <c r="I47" t="str">
        <f t="shared" si="4"/>
        <v>sell</v>
      </c>
      <c r="J47">
        <f t="shared" si="1"/>
        <v>0</v>
      </c>
      <c r="K47" t="str">
        <f>IF(AND(I47="sell",P46&lt;&gt;0),"sell",IF(AND(I47="buy",O46&lt;&gt;0),"buy","keep"))</f>
        <v>keep</v>
      </c>
      <c r="L47">
        <f t="shared" si="2"/>
        <v>0</v>
      </c>
      <c r="M47">
        <f t="shared" si="3"/>
        <v>0</v>
      </c>
      <c r="N47">
        <f t="shared" si="6"/>
        <v>0</v>
      </c>
      <c r="O47">
        <f t="shared" si="7"/>
        <v>1000</v>
      </c>
      <c r="P47">
        <f t="shared" si="8"/>
        <v>0</v>
      </c>
      <c r="Q47">
        <f>Q46+(Q46*E47/100)</f>
        <v>999.34472529267885</v>
      </c>
    </row>
    <row r="48" spans="1:17" x14ac:dyDescent="0.25">
      <c r="A48" s="1">
        <v>45118</v>
      </c>
      <c r="B48">
        <v>0.48798139255332701</v>
      </c>
      <c r="C48">
        <v>-0.19316935667961199</v>
      </c>
      <c r="D48">
        <v>0.80305650633707404</v>
      </c>
      <c r="E48">
        <v>1.5139616396175199</v>
      </c>
      <c r="G48">
        <f t="shared" si="0"/>
        <v>3.0602333425651498</v>
      </c>
      <c r="H48" t="str">
        <f>IF(F48&gt;$T$2,"buy",IF(F48&lt;0,"sell","keep"))</f>
        <v>keep</v>
      </c>
      <c r="I48" t="str">
        <f t="shared" si="4"/>
        <v>sell</v>
      </c>
      <c r="J48">
        <f t="shared" si="1"/>
        <v>0</v>
      </c>
      <c r="K48" t="str">
        <f>IF(AND(I48="sell",P47&lt;&gt;0),"sell",IF(AND(I48="buy",O47&lt;&gt;0),"buy","keep"))</f>
        <v>keep</v>
      </c>
      <c r="L48">
        <f t="shared" si="2"/>
        <v>0</v>
      </c>
      <c r="M48">
        <f t="shared" si="3"/>
        <v>0</v>
      </c>
      <c r="N48">
        <f t="shared" si="6"/>
        <v>0</v>
      </c>
      <c r="O48">
        <f t="shared" si="7"/>
        <v>1000</v>
      </c>
      <c r="P48">
        <f t="shared" si="8"/>
        <v>0</v>
      </c>
      <c r="Q48">
        <f>Q47+(Q47*E48/100)</f>
        <v>1014.474421081151</v>
      </c>
    </row>
    <row r="49" spans="1:17" x14ac:dyDescent="0.25">
      <c r="A49" s="1">
        <v>45119</v>
      </c>
      <c r="B49">
        <v>1.2445939349758901</v>
      </c>
      <c r="C49">
        <v>2.1153711709833001</v>
      </c>
      <c r="D49">
        <v>-0.43521525122218702</v>
      </c>
      <c r="E49">
        <v>3.0602333425651498</v>
      </c>
      <c r="G49">
        <f t="shared" si="0"/>
        <v>0.22552709171146301</v>
      </c>
      <c r="H49" t="str">
        <f>IF(F49&gt;$T$2,"buy",IF(F49&lt;0,"sell","keep"))</f>
        <v>keep</v>
      </c>
      <c r="I49" t="str">
        <f t="shared" si="4"/>
        <v>sell</v>
      </c>
      <c r="J49">
        <f t="shared" si="1"/>
        <v>0</v>
      </c>
      <c r="K49" t="str">
        <f>IF(AND(I49="sell",P48&lt;&gt;0),"sell",IF(AND(I49="buy",O48&lt;&gt;0),"buy","keep"))</f>
        <v>keep</v>
      </c>
      <c r="L49">
        <f t="shared" si="2"/>
        <v>0</v>
      </c>
      <c r="M49">
        <f t="shared" si="3"/>
        <v>0</v>
      </c>
      <c r="N49">
        <f t="shared" si="6"/>
        <v>0</v>
      </c>
      <c r="O49">
        <f t="shared" si="7"/>
        <v>1000</v>
      </c>
      <c r="P49">
        <f t="shared" si="8"/>
        <v>0</v>
      </c>
      <c r="Q49">
        <f>Q48+(Q48*E49/100)</f>
        <v>1045.5197055668712</v>
      </c>
    </row>
    <row r="50" spans="1:17" x14ac:dyDescent="0.25">
      <c r="A50" s="1">
        <v>45120</v>
      </c>
      <c r="B50">
        <v>1.7295747949996001</v>
      </c>
      <c r="C50">
        <v>0.67804935282191803</v>
      </c>
      <c r="D50">
        <v>6.7427490790983299E-2</v>
      </c>
      <c r="E50">
        <v>0.22552709171146301</v>
      </c>
      <c r="G50">
        <f t="shared" si="0"/>
        <v>-1.2188302323778799</v>
      </c>
      <c r="H50" t="str">
        <f>IF(F50&gt;$T$2,"buy",IF(F50&lt;0,"sell","keep"))</f>
        <v>keep</v>
      </c>
      <c r="I50" t="str">
        <f t="shared" si="4"/>
        <v>sell</v>
      </c>
      <c r="J50">
        <f t="shared" si="1"/>
        <v>0</v>
      </c>
      <c r="K50" t="str">
        <f>IF(AND(I50="sell",P49&lt;&gt;0),"sell",IF(AND(I50="buy",O49&lt;&gt;0),"buy","keep"))</f>
        <v>keep</v>
      </c>
      <c r="L50">
        <f t="shared" si="2"/>
        <v>0</v>
      </c>
      <c r="M50">
        <f t="shared" si="3"/>
        <v>0</v>
      </c>
      <c r="N50">
        <f t="shared" si="6"/>
        <v>0</v>
      </c>
      <c r="O50">
        <f t="shared" si="7"/>
        <v>1000</v>
      </c>
      <c r="P50">
        <f t="shared" si="8"/>
        <v>0</v>
      </c>
      <c r="Q50">
        <f>Q49+(Q49*E50/100)</f>
        <v>1047.8776357521065</v>
      </c>
    </row>
    <row r="51" spans="1:17" x14ac:dyDescent="0.25">
      <c r="A51" s="1">
        <v>45121</v>
      </c>
      <c r="B51">
        <v>-4.09765436567677E-2</v>
      </c>
      <c r="C51">
        <v>0.38181123584655102</v>
      </c>
      <c r="D51">
        <v>1.8115056514968999</v>
      </c>
      <c r="E51">
        <v>-1.2188302323778799</v>
      </c>
      <c r="G51">
        <f t="shared" si="0"/>
        <v>0.45558401982832503</v>
      </c>
      <c r="H51" t="str">
        <f>IF(F51&gt;$T$2,"buy",IF(F51&lt;0,"sell","keep"))</f>
        <v>keep</v>
      </c>
      <c r="I51" t="str">
        <f t="shared" si="4"/>
        <v>sell</v>
      </c>
      <c r="J51">
        <f t="shared" si="1"/>
        <v>0</v>
      </c>
      <c r="K51" t="str">
        <f>IF(AND(I51="sell",P50&lt;&gt;0),"sell",IF(AND(I51="buy",O50&lt;&gt;0),"buy","keep"))</f>
        <v>keep</v>
      </c>
      <c r="L51">
        <f t="shared" si="2"/>
        <v>0</v>
      </c>
      <c r="M51">
        <f t="shared" si="3"/>
        <v>0</v>
      </c>
      <c r="N51">
        <f t="shared" si="6"/>
        <v>0</v>
      </c>
      <c r="O51">
        <f t="shared" si="7"/>
        <v>1000</v>
      </c>
      <c r="P51">
        <f t="shared" si="8"/>
        <v>0</v>
      </c>
      <c r="Q51">
        <f>Q50+(Q50*E51/100)</f>
        <v>1035.1057863292333</v>
      </c>
    </row>
    <row r="52" spans="1:17" x14ac:dyDescent="0.25">
      <c r="A52" s="1">
        <v>45124</v>
      </c>
      <c r="B52">
        <v>0.94876309148768101</v>
      </c>
      <c r="C52">
        <v>0.93243876069748399</v>
      </c>
      <c r="D52">
        <v>-0.86760454510698104</v>
      </c>
      <c r="E52">
        <v>0.45558401982832503</v>
      </c>
      <c r="G52">
        <f t="shared" si="0"/>
        <v>0.43462296657159599</v>
      </c>
      <c r="H52" t="str">
        <f>IF(F52&gt;$T$2,"buy",IF(F52&lt;0,"sell","keep"))</f>
        <v>keep</v>
      </c>
      <c r="I52" t="str">
        <f t="shared" si="4"/>
        <v>sell</v>
      </c>
      <c r="J52">
        <f t="shared" si="1"/>
        <v>0</v>
      </c>
      <c r="K52" t="str">
        <f>IF(AND(I52="sell",P51&lt;&gt;0),"sell",IF(AND(I52="buy",O51&lt;&gt;0),"buy","keep"))</f>
        <v>keep</v>
      </c>
      <c r="L52">
        <f t="shared" si="2"/>
        <v>0</v>
      </c>
      <c r="M52">
        <f t="shared" si="3"/>
        <v>0</v>
      </c>
      <c r="N52">
        <f t="shared" si="6"/>
        <v>0</v>
      </c>
      <c r="O52">
        <f t="shared" si="7"/>
        <v>1000</v>
      </c>
      <c r="P52">
        <f t="shared" si="8"/>
        <v>0</v>
      </c>
      <c r="Q52">
        <f>Q51+(Q51*E52/100)</f>
        <v>1039.8215628800676</v>
      </c>
    </row>
    <row r="53" spans="1:17" x14ac:dyDescent="0.25">
      <c r="A53" s="1">
        <v>45125</v>
      </c>
      <c r="B53">
        <v>0.81503883154172496</v>
      </c>
      <c r="C53">
        <v>0.565267698648241</v>
      </c>
      <c r="D53">
        <v>1.29795409341701</v>
      </c>
      <c r="E53">
        <v>0.43462296657159599</v>
      </c>
      <c r="G53">
        <f t="shared" si="0"/>
        <v>0.22576561180964699</v>
      </c>
      <c r="H53" t="str">
        <f>IF(F53&gt;$T$2,"buy",IF(F53&lt;0,"sell","keep"))</f>
        <v>keep</v>
      </c>
      <c r="I53" t="str">
        <f t="shared" si="4"/>
        <v>sell</v>
      </c>
      <c r="J53">
        <f t="shared" si="1"/>
        <v>0</v>
      </c>
      <c r="K53" t="str">
        <f>IF(AND(I53="sell",P52&lt;&gt;0),"sell",IF(AND(I53="buy",O52&lt;&gt;0),"buy","keep"))</f>
        <v>keep</v>
      </c>
      <c r="L53">
        <f t="shared" si="2"/>
        <v>0</v>
      </c>
      <c r="M53">
        <f t="shared" si="3"/>
        <v>0</v>
      </c>
      <c r="N53">
        <f t="shared" si="6"/>
        <v>0</v>
      </c>
      <c r="O53">
        <f t="shared" si="7"/>
        <v>1000</v>
      </c>
      <c r="P53">
        <f t="shared" si="8"/>
        <v>0</v>
      </c>
      <c r="Q53">
        <f>Q52+(Q52*E53/100)</f>
        <v>1044.3408662037082</v>
      </c>
    </row>
    <row r="54" spans="1:17" x14ac:dyDescent="0.25">
      <c r="A54" s="1">
        <v>45126</v>
      </c>
      <c r="B54">
        <v>-9.4688901955186602E-2</v>
      </c>
      <c r="C54">
        <v>-2.4878214160240302</v>
      </c>
      <c r="D54">
        <v>0.80538008540322803</v>
      </c>
      <c r="E54">
        <v>0.22576561180964699</v>
      </c>
      <c r="G54">
        <f t="shared" si="0"/>
        <v>2.6656713255347602</v>
      </c>
      <c r="H54" t="str">
        <f>IF(F54&gt;$T$2,"buy",IF(F54&lt;0,"sell","keep"))</f>
        <v>keep</v>
      </c>
      <c r="I54" t="str">
        <f t="shared" si="4"/>
        <v>sell</v>
      </c>
      <c r="J54">
        <f t="shared" si="1"/>
        <v>0</v>
      </c>
      <c r="K54" t="str">
        <f>IF(AND(I54="sell",P53&lt;&gt;0),"sell",IF(AND(I54="buy",O53&lt;&gt;0),"buy","keep"))</f>
        <v>keep</v>
      </c>
      <c r="L54">
        <f t="shared" si="2"/>
        <v>0</v>
      </c>
      <c r="M54">
        <f t="shared" si="3"/>
        <v>0</v>
      </c>
      <c r="N54">
        <f t="shared" si="6"/>
        <v>0</v>
      </c>
      <c r="O54">
        <f t="shared" si="7"/>
        <v>1000</v>
      </c>
      <c r="P54">
        <f t="shared" si="8"/>
        <v>0</v>
      </c>
      <c r="Q54">
        <f>Q53+(Q53*E54/100)</f>
        <v>1046.6986287496711</v>
      </c>
    </row>
    <row r="55" spans="1:17" x14ac:dyDescent="0.25">
      <c r="A55" s="1">
        <v>45127</v>
      </c>
      <c r="B55">
        <v>-2.2763288725253101</v>
      </c>
      <c r="C55">
        <v>1.8387673276754699</v>
      </c>
      <c r="D55">
        <v>3.27569486018362</v>
      </c>
      <c r="E55">
        <v>2.6656713255347602</v>
      </c>
      <c r="G55">
        <f t="shared" si="0"/>
        <v>1.29822914082078</v>
      </c>
      <c r="H55" t="str">
        <f>IF(F55&gt;$T$2,"buy",IF(F55&lt;0,"sell","keep"))</f>
        <v>keep</v>
      </c>
      <c r="I55" t="str">
        <f t="shared" si="4"/>
        <v>sell</v>
      </c>
      <c r="J55">
        <f t="shared" si="1"/>
        <v>0</v>
      </c>
      <c r="K55" t="str">
        <f>IF(AND(I55="sell",P54&lt;&gt;0),"sell",IF(AND(I55="buy",O54&lt;&gt;0),"buy","keep"))</f>
        <v>keep</v>
      </c>
      <c r="L55">
        <f t="shared" si="2"/>
        <v>0</v>
      </c>
      <c r="M55">
        <f t="shared" si="3"/>
        <v>0</v>
      </c>
      <c r="N55">
        <f t="shared" si="6"/>
        <v>0</v>
      </c>
      <c r="O55">
        <f t="shared" si="7"/>
        <v>1000</v>
      </c>
      <c r="P55">
        <f t="shared" si="8"/>
        <v>0</v>
      </c>
      <c r="Q55">
        <f>Q54+(Q54*E55/100)</f>
        <v>1074.6001739610167</v>
      </c>
    </row>
    <row r="56" spans="1:17" x14ac:dyDescent="0.25">
      <c r="A56" s="1">
        <v>45128</v>
      </c>
      <c r="B56">
        <v>-0.26134544854809999</v>
      </c>
      <c r="C56">
        <v>0.770434102140926</v>
      </c>
      <c r="D56">
        <v>1.09010266670885</v>
      </c>
      <c r="E56">
        <v>1.29822914082078</v>
      </c>
      <c r="G56">
        <f t="shared" si="0"/>
        <v>0.27075131912535</v>
      </c>
      <c r="H56" t="str">
        <f>IF(F56&gt;$T$2,"buy",IF(F56&lt;0,"sell","keep"))</f>
        <v>keep</v>
      </c>
      <c r="I56" t="str">
        <f t="shared" si="4"/>
        <v>sell</v>
      </c>
      <c r="J56">
        <f t="shared" si="1"/>
        <v>0</v>
      </c>
      <c r="K56" t="str">
        <f>IF(AND(I56="sell",P55&lt;&gt;0),"sell",IF(AND(I56="buy",O55&lt;&gt;0),"buy","keep"))</f>
        <v>keep</v>
      </c>
      <c r="L56">
        <f t="shared" si="2"/>
        <v>0</v>
      </c>
      <c r="M56">
        <f t="shared" si="3"/>
        <v>0</v>
      </c>
      <c r="N56">
        <f t="shared" si="6"/>
        <v>0</v>
      </c>
      <c r="O56">
        <f t="shared" si="7"/>
        <v>1000</v>
      </c>
      <c r="P56">
        <f t="shared" si="8"/>
        <v>0</v>
      </c>
      <c r="Q56">
        <f>Q55+(Q55*E56/100)</f>
        <v>1088.5509465666894</v>
      </c>
    </row>
    <row r="57" spans="1:17" x14ac:dyDescent="0.25">
      <c r="A57" s="1">
        <v>45131</v>
      </c>
      <c r="B57">
        <v>0.144885826600682</v>
      </c>
      <c r="C57">
        <v>3.9016198604735403E-2</v>
      </c>
      <c r="D57">
        <v>-0.38958816356951997</v>
      </c>
      <c r="E57">
        <v>0.27075131912535</v>
      </c>
      <c r="G57">
        <f t="shared" si="0"/>
        <v>-0.10800195085435201</v>
      </c>
      <c r="H57" t="str">
        <f>IF(F57&gt;$T$2,"buy",IF(F57&lt;0,"sell","keep"))</f>
        <v>keep</v>
      </c>
      <c r="I57" t="str">
        <f t="shared" si="4"/>
        <v>sell</v>
      </c>
      <c r="J57">
        <f t="shared" si="1"/>
        <v>0</v>
      </c>
      <c r="K57" t="str">
        <f>IF(AND(I57="sell",P56&lt;&gt;0),"sell",IF(AND(I57="buy",O56&lt;&gt;0),"buy","keep"))</f>
        <v>keep</v>
      </c>
      <c r="L57">
        <f t="shared" si="2"/>
        <v>0</v>
      </c>
      <c r="M57">
        <f t="shared" si="3"/>
        <v>0</v>
      </c>
      <c r="N57">
        <f t="shared" si="6"/>
        <v>0</v>
      </c>
      <c r="O57">
        <f t="shared" si="7"/>
        <v>1000</v>
      </c>
      <c r="P57">
        <f t="shared" si="8"/>
        <v>0</v>
      </c>
      <c r="Q57">
        <f>Q56+(Q56*E57/100)</f>
        <v>1091.4982126138702</v>
      </c>
    </row>
    <row r="58" spans="1:17" x14ac:dyDescent="0.25">
      <c r="A58" s="1">
        <v>45132</v>
      </c>
      <c r="B58">
        <v>0.73407720902733897</v>
      </c>
      <c r="C58">
        <v>1.6506702853549899</v>
      </c>
      <c r="D58">
        <v>-1.08254183616788</v>
      </c>
      <c r="E58">
        <v>-0.10800195085435201</v>
      </c>
      <c r="G58">
        <f t="shared" si="0"/>
        <v>-0.23428029209582299</v>
      </c>
      <c r="H58" t="str">
        <f>IF(F58&gt;$T$2,"buy",IF(F58&lt;0,"sell","keep"))</f>
        <v>keep</v>
      </c>
      <c r="I58" t="str">
        <f t="shared" si="4"/>
        <v>sell</v>
      </c>
      <c r="J58">
        <f t="shared" si="1"/>
        <v>0</v>
      </c>
      <c r="K58" t="str">
        <f>IF(AND(I58="sell",P57&lt;&gt;0),"sell",IF(AND(I58="buy",O57&lt;&gt;0),"buy","keep"))</f>
        <v>keep</v>
      </c>
      <c r="L58">
        <f t="shared" si="2"/>
        <v>0</v>
      </c>
      <c r="M58">
        <f t="shared" si="3"/>
        <v>0</v>
      </c>
      <c r="N58">
        <f t="shared" si="6"/>
        <v>0</v>
      </c>
      <c r="O58">
        <f t="shared" si="7"/>
        <v>1000</v>
      </c>
      <c r="P58">
        <f t="shared" si="8"/>
        <v>0</v>
      </c>
      <c r="Q58">
        <f>Q57+(Q57*E58/100)</f>
        <v>1090.3193732507068</v>
      </c>
    </row>
    <row r="59" spans="1:17" x14ac:dyDescent="0.25">
      <c r="A59" s="1">
        <v>45133</v>
      </c>
      <c r="B59">
        <v>-0.39945041366450301</v>
      </c>
      <c r="C59">
        <v>-0.72370814313666898</v>
      </c>
      <c r="D59">
        <v>0.19063551290132699</v>
      </c>
      <c r="E59">
        <v>-0.23428029209582299</v>
      </c>
      <c r="G59">
        <f t="shared" si="0"/>
        <v>1.40895189870919</v>
      </c>
      <c r="H59" t="str">
        <f>IF(F59&gt;$T$2,"buy",IF(F59&lt;0,"sell","keep"))</f>
        <v>keep</v>
      </c>
      <c r="I59" t="str">
        <f t="shared" si="4"/>
        <v>sell</v>
      </c>
      <c r="J59">
        <f t="shared" si="1"/>
        <v>0</v>
      </c>
      <c r="K59" t="str">
        <f>IF(AND(I59="sell",P58&lt;&gt;0),"sell",IF(AND(I59="buy",O58&lt;&gt;0),"buy","keep"))</f>
        <v>keep</v>
      </c>
      <c r="L59">
        <f t="shared" si="2"/>
        <v>0</v>
      </c>
      <c r="M59">
        <f t="shared" si="3"/>
        <v>0</v>
      </c>
      <c r="N59">
        <f t="shared" si="6"/>
        <v>0</v>
      </c>
      <c r="O59">
        <f t="shared" si="7"/>
        <v>1000</v>
      </c>
      <c r="P59">
        <f t="shared" si="8"/>
        <v>0</v>
      </c>
      <c r="Q59">
        <f>Q58+(Q58*E59/100)</f>
        <v>1087.7649698382777</v>
      </c>
    </row>
    <row r="60" spans="1:17" x14ac:dyDescent="0.25">
      <c r="A60" s="1">
        <v>45134</v>
      </c>
      <c r="B60">
        <v>-0.22149495294697599</v>
      </c>
      <c r="C60">
        <v>-0.92218004179952495</v>
      </c>
      <c r="D60">
        <v>4.8978211651929504</v>
      </c>
      <c r="E60">
        <v>1.40895189870919</v>
      </c>
      <c r="G60">
        <f t="shared" si="0"/>
        <v>0.39188334242381501</v>
      </c>
      <c r="H60" t="str">
        <f>IF(F60&gt;$T$2,"buy",IF(F60&lt;0,"sell","keep"))</f>
        <v>keep</v>
      </c>
      <c r="I60" t="str">
        <f t="shared" si="4"/>
        <v>sell</v>
      </c>
      <c r="J60">
        <f t="shared" si="1"/>
        <v>0</v>
      </c>
      <c r="K60" t="str">
        <f>IF(AND(I60="sell",P59&lt;&gt;0),"sell",IF(AND(I60="buy",O59&lt;&gt;0),"buy","keep"))</f>
        <v>keep</v>
      </c>
      <c r="L60">
        <f t="shared" si="2"/>
        <v>0</v>
      </c>
      <c r="M60">
        <f t="shared" si="3"/>
        <v>0</v>
      </c>
      <c r="N60">
        <f t="shared" si="6"/>
        <v>0</v>
      </c>
      <c r="O60">
        <f t="shared" si="7"/>
        <v>1000</v>
      </c>
      <c r="P60">
        <f t="shared" si="8"/>
        <v>0</v>
      </c>
      <c r="Q60">
        <f>Q59+(Q59*E60/100)</f>
        <v>1103.0910550343076</v>
      </c>
    </row>
    <row r="61" spans="1:17" x14ac:dyDescent="0.25">
      <c r="A61" s="1">
        <v>45135</v>
      </c>
      <c r="B61">
        <v>1.84934562121654</v>
      </c>
      <c r="C61">
        <v>1.0607596106304999</v>
      </c>
      <c r="D61">
        <v>1.34361993828977</v>
      </c>
      <c r="E61">
        <v>0.39188334242381501</v>
      </c>
      <c r="G61">
        <f t="shared" si="0"/>
        <v>-0.74520883384612202</v>
      </c>
      <c r="H61" t="str">
        <f>IF(F61&gt;$T$2,"buy",IF(F61&lt;0,"sell","keep"))</f>
        <v>keep</v>
      </c>
      <c r="I61" t="str">
        <f t="shared" si="4"/>
        <v>sell</v>
      </c>
      <c r="J61">
        <f t="shared" si="1"/>
        <v>0</v>
      </c>
      <c r="K61" t="str">
        <f>IF(AND(I61="sell",P60&lt;&gt;0),"sell",IF(AND(I61="buy",O60&lt;&gt;0),"buy","keep"))</f>
        <v>keep</v>
      </c>
      <c r="L61">
        <f t="shared" si="2"/>
        <v>0</v>
      </c>
      <c r="M61">
        <f t="shared" si="3"/>
        <v>0</v>
      </c>
      <c r="N61">
        <f t="shared" si="6"/>
        <v>0</v>
      </c>
      <c r="O61">
        <f t="shared" si="7"/>
        <v>1000</v>
      </c>
      <c r="P61">
        <f t="shared" si="8"/>
        <v>0</v>
      </c>
      <c r="Q61">
        <f>Q60+(Q60*E61/100)</f>
        <v>1107.4138851307541</v>
      </c>
    </row>
    <row r="62" spans="1:17" x14ac:dyDescent="0.25">
      <c r="A62" s="1">
        <v>45138</v>
      </c>
      <c r="B62">
        <v>3.8539391772007797E-2</v>
      </c>
      <c r="C62">
        <v>0.50423333918538904</v>
      </c>
      <c r="D62">
        <v>-0.84188690056022897</v>
      </c>
      <c r="E62">
        <v>-0.74520883384612202</v>
      </c>
      <c r="F62" s="3">
        <v>0.27502844059441001</v>
      </c>
      <c r="G62">
        <f t="shared" si="0"/>
        <v>-0.67929694264902096</v>
      </c>
      <c r="H62" t="str">
        <f>IF(F62&gt;$T$2,"buy",IF(F62&lt;0,"sell","keep"))</f>
        <v>buy</v>
      </c>
      <c r="I62" t="str">
        <f t="shared" si="4"/>
        <v>buy</v>
      </c>
      <c r="J62">
        <f t="shared" si="1"/>
        <v>0</v>
      </c>
      <c r="K62" t="str">
        <f>IF(AND(I62="sell",P61&lt;&gt;0),"sell",IF(AND(I62="buy",O61&lt;&gt;0),"buy","keep"))</f>
        <v>buy</v>
      </c>
      <c r="L62">
        <f t="shared" si="2"/>
        <v>1</v>
      </c>
      <c r="M62">
        <f t="shared" si="3"/>
        <v>0</v>
      </c>
      <c r="N62">
        <f t="shared" si="6"/>
        <v>0</v>
      </c>
      <c r="O62">
        <f t="shared" si="7"/>
        <v>0</v>
      </c>
      <c r="P62">
        <f t="shared" si="8"/>
        <v>1000</v>
      </c>
      <c r="Q62">
        <f>Q61+(Q61*E62/100)</f>
        <v>1099.1613390315213</v>
      </c>
    </row>
    <row r="63" spans="1:17" x14ac:dyDescent="0.25">
      <c r="A63" s="1">
        <v>45139</v>
      </c>
      <c r="B63">
        <v>-0.247447067176498</v>
      </c>
      <c r="C63">
        <v>-0.51961523101430296</v>
      </c>
      <c r="D63">
        <v>-0.69529488750679203</v>
      </c>
      <c r="E63">
        <v>-0.67929694264902096</v>
      </c>
      <c r="F63" s="3">
        <v>2.2959439109926202E-2</v>
      </c>
      <c r="G63">
        <f t="shared" si="0"/>
        <v>-1.4938808378041899</v>
      </c>
      <c r="H63" t="str">
        <f>IF(F63&gt;$T$2,"buy",IF(F63&lt;0,"sell","keep"))</f>
        <v>keep</v>
      </c>
      <c r="I63" t="str">
        <f t="shared" si="4"/>
        <v>sell</v>
      </c>
      <c r="J63">
        <f t="shared" si="1"/>
        <v>0</v>
      </c>
      <c r="K63" t="str">
        <f>IF(AND(I63="sell",P62&lt;&gt;0),"sell",IF(AND(I63="buy",O62&lt;&gt;0),"buy","keep"))</f>
        <v>sell</v>
      </c>
      <c r="L63">
        <f>IF(K63="buy",1,0)</f>
        <v>0</v>
      </c>
      <c r="M63">
        <f>IF(K63="sell",1,0)</f>
        <v>1</v>
      </c>
      <c r="N63">
        <f t="shared" si="6"/>
        <v>0</v>
      </c>
      <c r="O63">
        <f t="shared" si="7"/>
        <v>993.20703057350977</v>
      </c>
      <c r="P63">
        <f t="shared" si="8"/>
        <v>0</v>
      </c>
      <c r="Q63">
        <f>Q62+(Q62*E63/100)</f>
        <v>1091.6947696607001</v>
      </c>
    </row>
    <row r="64" spans="1:17" x14ac:dyDescent="0.25">
      <c r="A64" s="1">
        <v>45140</v>
      </c>
      <c r="B64">
        <v>-2.2093734284951898</v>
      </c>
      <c r="C64">
        <v>-1.25051468056648</v>
      </c>
      <c r="D64">
        <v>0.56550943366588902</v>
      </c>
      <c r="E64">
        <v>-1.4938808378041899</v>
      </c>
      <c r="F64" s="3">
        <v>-7.5914036744583399E-3</v>
      </c>
      <c r="G64">
        <f t="shared" si="0"/>
        <v>-1.64443398958858</v>
      </c>
      <c r="H64" t="str">
        <f>IF(F64&gt;$T$2,"buy",IF(F64&lt;0,"sell","keep"))</f>
        <v>sell</v>
      </c>
      <c r="I64" t="str">
        <f t="shared" si="4"/>
        <v>sell</v>
      </c>
      <c r="J64">
        <f t="shared" si="1"/>
        <v>1</v>
      </c>
      <c r="K64" t="str">
        <f>IF(AND(I64="sell",P63&lt;&gt;0),"sell",IF(AND(I64="buy",O63&lt;&gt;0),"buy","keep"))</f>
        <v>keep</v>
      </c>
      <c r="L64">
        <f t="shared" ref="L64:L127" si="9">IF(K64="buy",1,0)</f>
        <v>0</v>
      </c>
      <c r="M64">
        <f t="shared" ref="M64:M127" si="10">IF(K64="sell",1,0)</f>
        <v>0</v>
      </c>
      <c r="N64">
        <f t="shared" si="6"/>
        <v>0</v>
      </c>
      <c r="O64">
        <f t="shared" si="7"/>
        <v>993.20703057350977</v>
      </c>
      <c r="P64">
        <f t="shared" si="8"/>
        <v>0</v>
      </c>
      <c r="Q64">
        <f>Q63+(Q63*E64/100)</f>
        <v>1075.3861506894284</v>
      </c>
    </row>
    <row r="65" spans="1:17" x14ac:dyDescent="0.25">
      <c r="A65" s="1">
        <v>45141</v>
      </c>
      <c r="B65">
        <v>-0.111902192413826</v>
      </c>
      <c r="C65">
        <v>-0.78952860119139101</v>
      </c>
      <c r="D65">
        <v>-0.22091074134966601</v>
      </c>
      <c r="E65">
        <v>-1.64443398958858</v>
      </c>
      <c r="F65" s="3">
        <v>-0.152171333356273</v>
      </c>
      <c r="G65">
        <f t="shared" si="0"/>
        <v>2.0063101152274001</v>
      </c>
      <c r="H65" t="str">
        <f>IF(F65&gt;$T$2,"buy",IF(F65&lt;0,"sell","keep"))</f>
        <v>sell</v>
      </c>
      <c r="I65" t="str">
        <f t="shared" si="4"/>
        <v>sell</v>
      </c>
      <c r="J65">
        <f t="shared" si="1"/>
        <v>0</v>
      </c>
      <c r="K65" t="str">
        <f>IF(AND(I65="sell",P64&lt;&gt;0),"sell",IF(AND(I65="buy",O64&lt;&gt;0),"buy","keep"))</f>
        <v>keep</v>
      </c>
      <c r="L65">
        <f t="shared" si="9"/>
        <v>0</v>
      </c>
      <c r="M65">
        <f t="shared" si="10"/>
        <v>0</v>
      </c>
      <c r="N65">
        <f t="shared" si="6"/>
        <v>0</v>
      </c>
      <c r="O65">
        <f t="shared" si="7"/>
        <v>993.20703057350977</v>
      </c>
      <c r="P65">
        <f t="shared" si="8"/>
        <v>0</v>
      </c>
      <c r="Q65">
        <f>Q64+(Q64*E65/100)</f>
        <v>1057.7021353081632</v>
      </c>
    </row>
    <row r="66" spans="1:17" x14ac:dyDescent="0.25">
      <c r="A66" s="1">
        <v>45142</v>
      </c>
      <c r="B66">
        <v>-0.51206508067503897</v>
      </c>
      <c r="C66">
        <v>-0.76952274215419303</v>
      </c>
      <c r="D66">
        <v>-0.88562171310695403</v>
      </c>
      <c r="E66">
        <v>2.0063101152274001</v>
      </c>
      <c r="F66" s="3">
        <v>-8.9378410751672605E-2</v>
      </c>
      <c r="G66">
        <f t="shared" ref="G66:G129" si="11">E67</f>
        <v>0.692039183779247</v>
      </c>
      <c r="H66" t="str">
        <f>IF(F66&gt;$T$2,"buy",IF(F66&lt;0,"sell","keep"))</f>
        <v>sell</v>
      </c>
      <c r="I66" t="str">
        <f t="shared" si="4"/>
        <v>sell</v>
      </c>
      <c r="J66">
        <f t="shared" ref="J66:J129" si="12">IF(OR(AND(F66&lt;0,G66&lt;0),AND(F66&gt;0,G66&gt;0)),1,0)</f>
        <v>0</v>
      </c>
      <c r="K66" t="str">
        <f>IF(AND(I66="sell",P65&lt;&gt;0),"sell",IF(AND(I66="buy",O65&lt;&gt;0),"buy","keep"))</f>
        <v>keep</v>
      </c>
      <c r="L66">
        <f t="shared" si="9"/>
        <v>0</v>
      </c>
      <c r="M66">
        <f t="shared" si="10"/>
        <v>0</v>
      </c>
      <c r="N66">
        <f t="shared" si="6"/>
        <v>0</v>
      </c>
      <c r="O66">
        <f t="shared" si="7"/>
        <v>993.20703057350977</v>
      </c>
      <c r="P66">
        <f t="shared" si="8"/>
        <v>0</v>
      </c>
      <c r="Q66">
        <f>Q65+(Q65*E66/100)</f>
        <v>1078.9229202378272</v>
      </c>
    </row>
    <row r="67" spans="1:17" x14ac:dyDescent="0.25">
      <c r="A67" s="1">
        <v>45145</v>
      </c>
      <c r="B67">
        <v>0.87024801556985198</v>
      </c>
      <c r="C67">
        <v>1.8924111839852999</v>
      </c>
      <c r="D67">
        <v>1.7599714076003099</v>
      </c>
      <c r="E67">
        <v>0.692039183779247</v>
      </c>
      <c r="F67" s="3">
        <v>0.57840671478072603</v>
      </c>
      <c r="G67">
        <f t="shared" si="11"/>
        <v>-1.1575307471515801</v>
      </c>
      <c r="H67" t="str">
        <f>IF(F67&gt;$T$2,"buy",IF(F67&lt;0,"sell","keep"))</f>
        <v>buy</v>
      </c>
      <c r="I67" t="str">
        <f t="shared" ref="I67:I130" si="13">IF(F67&gt;$T$2,"buy",IF(F67&lt;$T$3,"sell","keep"))</f>
        <v>buy</v>
      </c>
      <c r="J67">
        <f t="shared" si="12"/>
        <v>0</v>
      </c>
      <c r="K67" t="str">
        <f t="shared" ref="K67:K130" si="14">IF(AND(I67="sell",P66&lt;&gt;0),"sell",IF(AND(I67="buy",O66&lt;&gt;0),"buy","keep"))</f>
        <v>buy</v>
      </c>
      <c r="L67">
        <f t="shared" si="9"/>
        <v>1</v>
      </c>
      <c r="M67">
        <f t="shared" si="10"/>
        <v>0</v>
      </c>
      <c r="N67">
        <f t="shared" ref="N67:N130" si="15">IF(AND(J67=1,OR(L67=1,M67=1)),1,0)</f>
        <v>0</v>
      </c>
      <c r="O67">
        <f t="shared" si="7"/>
        <v>0</v>
      </c>
      <c r="P67">
        <f t="shared" si="8"/>
        <v>993.20703057350977</v>
      </c>
      <c r="Q67">
        <f>Q66+(Q66*E67/100)</f>
        <v>1086.3894896086483</v>
      </c>
    </row>
    <row r="68" spans="1:17" x14ac:dyDescent="0.25">
      <c r="A68" s="1">
        <v>45146</v>
      </c>
      <c r="B68">
        <v>-0.87487746898490204</v>
      </c>
      <c r="C68">
        <v>-0.82861432020553405</v>
      </c>
      <c r="D68">
        <v>-0.47228925921096698</v>
      </c>
      <c r="E68">
        <v>-1.1575307471515801</v>
      </c>
      <c r="F68" s="3">
        <v>-2.7887993816637899E-2</v>
      </c>
      <c r="G68">
        <f t="shared" si="11"/>
        <v>1.2259845242490599</v>
      </c>
      <c r="H68" t="str">
        <f>IF(F68&gt;$T$2,"buy",IF(F68&lt;0,"sell","keep"))</f>
        <v>sell</v>
      </c>
      <c r="I68" t="str">
        <f t="shared" si="13"/>
        <v>sell</v>
      </c>
      <c r="J68">
        <f t="shared" si="12"/>
        <v>0</v>
      </c>
      <c r="K68" t="str">
        <f t="shared" si="14"/>
        <v>sell</v>
      </c>
      <c r="L68">
        <f t="shared" si="9"/>
        <v>0</v>
      </c>
      <c r="M68">
        <f t="shared" si="10"/>
        <v>1</v>
      </c>
      <c r="N68">
        <f t="shared" si="15"/>
        <v>0</v>
      </c>
      <c r="O68">
        <f t="shared" ref="O68:O131" si="16">IF(K68="sell",P67+(P67*E68/100),IF(K68="buy",0,O67))</f>
        <v>981.71035381175022</v>
      </c>
      <c r="P68">
        <f t="shared" ref="P68:P131" si="17">IF(K68="buy",O67,IF(K68="sell",0,IF(AND(K68="keep",P67&lt;&gt;0),P67+(P67*E67/100),P67)))</f>
        <v>0</v>
      </c>
      <c r="Q68">
        <f>Q67+(Q67*E68/100)</f>
        <v>1073.814197232605</v>
      </c>
    </row>
    <row r="69" spans="1:17" x14ac:dyDescent="0.25">
      <c r="A69" s="1">
        <v>45147</v>
      </c>
      <c r="B69">
        <v>-1.1218443332608901</v>
      </c>
      <c r="C69">
        <v>-0.581477201812308</v>
      </c>
      <c r="D69">
        <v>0.76862788082290301</v>
      </c>
      <c r="E69">
        <v>1.2259845242490599</v>
      </c>
      <c r="F69" s="3">
        <v>9.1137974213383904E-2</v>
      </c>
      <c r="G69">
        <f t="shared" si="11"/>
        <v>1.82574571036817</v>
      </c>
      <c r="H69" t="str">
        <f>IF(F69&gt;$T$2,"buy",IF(F69&lt;0,"sell","keep"))</f>
        <v>keep</v>
      </c>
      <c r="I69" t="str">
        <f t="shared" si="13"/>
        <v>sell</v>
      </c>
      <c r="J69">
        <f t="shared" si="12"/>
        <v>1</v>
      </c>
      <c r="K69" t="str">
        <f t="shared" si="14"/>
        <v>keep</v>
      </c>
      <c r="L69">
        <f t="shared" si="9"/>
        <v>0</v>
      </c>
      <c r="M69">
        <f t="shared" si="10"/>
        <v>0</v>
      </c>
      <c r="N69">
        <f t="shared" si="15"/>
        <v>0</v>
      </c>
      <c r="O69">
        <f t="shared" si="16"/>
        <v>981.71035381175022</v>
      </c>
      <c r="P69">
        <f t="shared" si="17"/>
        <v>0</v>
      </c>
      <c r="Q69">
        <f>Q68+(Q68*E69/100)</f>
        <v>1086.978993109866</v>
      </c>
    </row>
    <row r="70" spans="1:17" x14ac:dyDescent="0.25">
      <c r="A70" s="1">
        <v>45148</v>
      </c>
      <c r="B70">
        <v>0.17964775434486899</v>
      </c>
      <c r="C70">
        <v>0.72715274391192897</v>
      </c>
      <c r="D70">
        <v>0.444380673729738</v>
      </c>
      <c r="E70">
        <v>1.82574571036817</v>
      </c>
      <c r="F70" s="3">
        <v>0.28321315296029997</v>
      </c>
      <c r="G70">
        <f t="shared" si="11"/>
        <v>-1.15391824282544</v>
      </c>
      <c r="H70" t="str">
        <f>IF(F70&gt;$T$2,"buy",IF(F70&lt;0,"sell","keep"))</f>
        <v>buy</v>
      </c>
      <c r="I70" t="str">
        <f t="shared" si="13"/>
        <v>buy</v>
      </c>
      <c r="J70">
        <f t="shared" si="12"/>
        <v>0</v>
      </c>
      <c r="K70" t="str">
        <f t="shared" si="14"/>
        <v>buy</v>
      </c>
      <c r="L70">
        <f t="shared" si="9"/>
        <v>1</v>
      </c>
      <c r="M70">
        <f t="shared" si="10"/>
        <v>0</v>
      </c>
      <c r="N70">
        <f t="shared" si="15"/>
        <v>0</v>
      </c>
      <c r="O70">
        <f t="shared" si="16"/>
        <v>0</v>
      </c>
      <c r="P70">
        <f t="shared" si="17"/>
        <v>981.71035381175022</v>
      </c>
      <c r="Q70">
        <f>Q69+(Q69*E70/100)</f>
        <v>1106.8244654491725</v>
      </c>
    </row>
    <row r="71" spans="1:17" x14ac:dyDescent="0.25">
      <c r="A71" s="1">
        <v>45149</v>
      </c>
      <c r="B71">
        <v>-0.66607573542151099</v>
      </c>
      <c r="C71">
        <v>-0.130789932957697</v>
      </c>
      <c r="D71">
        <v>0.48863709649196102</v>
      </c>
      <c r="E71">
        <v>-1.15391824282544</v>
      </c>
      <c r="F71" s="3">
        <v>0.177791905377606</v>
      </c>
      <c r="G71">
        <f t="shared" si="11"/>
        <v>0.41307149563047901</v>
      </c>
      <c r="H71" t="str">
        <f>IF(F71&gt;$T$2,"buy",IF(F71&lt;0,"sell","keep"))</f>
        <v>buy</v>
      </c>
      <c r="I71" t="str">
        <f t="shared" si="13"/>
        <v>buy</v>
      </c>
      <c r="J71">
        <f t="shared" si="12"/>
        <v>1</v>
      </c>
      <c r="K71" t="str">
        <f t="shared" si="14"/>
        <v>keep</v>
      </c>
      <c r="L71">
        <f t="shared" si="9"/>
        <v>0</v>
      </c>
      <c r="M71">
        <f t="shared" si="10"/>
        <v>0</v>
      </c>
      <c r="N71">
        <f t="shared" si="15"/>
        <v>0</v>
      </c>
      <c r="O71">
        <f t="shared" si="16"/>
        <v>0</v>
      </c>
      <c r="P71">
        <f t="shared" si="17"/>
        <v>999.63388848470845</v>
      </c>
      <c r="Q71">
        <f>Q70+(Q70*E71/100)</f>
        <v>1094.0526160262993</v>
      </c>
    </row>
    <row r="72" spans="1:17" x14ac:dyDescent="0.25">
      <c r="A72" s="1">
        <v>45152</v>
      </c>
      <c r="B72">
        <v>1.1812529989452001</v>
      </c>
      <c r="C72">
        <v>9.1667075808721202E-2</v>
      </c>
      <c r="D72">
        <v>5.9139856780787703E-2</v>
      </c>
      <c r="E72">
        <v>0.41307149563047901</v>
      </c>
      <c r="F72" s="3">
        <v>4.6396310466016902E-2</v>
      </c>
      <c r="G72">
        <f t="shared" si="11"/>
        <v>-1.50241355773501</v>
      </c>
      <c r="H72" t="str">
        <f>IF(F72&gt;$T$2,"buy",IF(F72&lt;0,"sell","keep"))</f>
        <v>keep</v>
      </c>
      <c r="I72" t="str">
        <f t="shared" si="13"/>
        <v>sell</v>
      </c>
      <c r="J72">
        <f t="shared" si="12"/>
        <v>0</v>
      </c>
      <c r="K72" t="str">
        <f t="shared" si="14"/>
        <v>sell</v>
      </c>
      <c r="L72">
        <f t="shared" si="9"/>
        <v>0</v>
      </c>
      <c r="M72">
        <f t="shared" si="10"/>
        <v>1</v>
      </c>
      <c r="N72">
        <f t="shared" si="15"/>
        <v>0</v>
      </c>
      <c r="O72">
        <f t="shared" si="16"/>
        <v>1003.7630911387014</v>
      </c>
      <c r="P72">
        <f t="shared" si="17"/>
        <v>0</v>
      </c>
      <c r="Q72">
        <f>Q71+(Q71*E72/100)</f>
        <v>1098.5718355303036</v>
      </c>
    </row>
    <row r="73" spans="1:17" x14ac:dyDescent="0.25">
      <c r="A73" s="1">
        <v>45153</v>
      </c>
      <c r="B73">
        <v>-1.10445865534133</v>
      </c>
      <c r="C73">
        <v>-0.73004338677344904</v>
      </c>
      <c r="D73">
        <v>-9.8508170377109502E-2</v>
      </c>
      <c r="E73">
        <v>-1.50241355773501</v>
      </c>
      <c r="F73" s="3">
        <v>0.11605543877445</v>
      </c>
      <c r="G73">
        <f t="shared" si="11"/>
        <v>-0.45396920368355698</v>
      </c>
      <c r="H73" t="str">
        <f>IF(F73&gt;$T$2,"buy",IF(F73&lt;0,"sell","keep"))</f>
        <v>keep</v>
      </c>
      <c r="I73" t="str">
        <f t="shared" si="13"/>
        <v>sell</v>
      </c>
      <c r="J73">
        <f t="shared" si="12"/>
        <v>0</v>
      </c>
      <c r="K73" t="str">
        <f t="shared" si="14"/>
        <v>keep</v>
      </c>
      <c r="L73">
        <f t="shared" si="9"/>
        <v>0</v>
      </c>
      <c r="M73">
        <f t="shared" si="10"/>
        <v>0</v>
      </c>
      <c r="N73">
        <f t="shared" si="15"/>
        <v>0</v>
      </c>
      <c r="O73">
        <f t="shared" si="16"/>
        <v>1003.7630911387014</v>
      </c>
      <c r="P73">
        <f t="shared" si="17"/>
        <v>0</v>
      </c>
      <c r="Q73">
        <f>Q72+(Q72*E73/100)</f>
        <v>1082.0667433318379</v>
      </c>
    </row>
    <row r="74" spans="1:17" x14ac:dyDescent="0.25">
      <c r="A74" s="1">
        <v>45154</v>
      </c>
      <c r="B74">
        <v>-1.07184739554117</v>
      </c>
      <c r="C74">
        <v>-0.41647116076938201</v>
      </c>
      <c r="D74">
        <v>-0.37472206999267199</v>
      </c>
      <c r="E74">
        <v>-0.45396920368355698</v>
      </c>
      <c r="F74" s="3">
        <v>0.15133186116927699</v>
      </c>
      <c r="G74">
        <f t="shared" si="11"/>
        <v>0.20066359755972399</v>
      </c>
      <c r="H74" t="str">
        <f>IF(F74&gt;$T$2,"buy",IF(F74&lt;0,"sell","keep"))</f>
        <v>buy</v>
      </c>
      <c r="I74" t="str">
        <f t="shared" si="13"/>
        <v>buy</v>
      </c>
      <c r="J74">
        <f t="shared" si="12"/>
        <v>1</v>
      </c>
      <c r="K74" t="str">
        <f t="shared" si="14"/>
        <v>buy</v>
      </c>
      <c r="L74">
        <f t="shared" si="9"/>
        <v>1</v>
      </c>
      <c r="M74">
        <f t="shared" si="10"/>
        <v>0</v>
      </c>
      <c r="N74">
        <f t="shared" si="15"/>
        <v>1</v>
      </c>
      <c r="O74">
        <f t="shared" si="16"/>
        <v>0</v>
      </c>
      <c r="P74">
        <f t="shared" si="17"/>
        <v>1003.7630911387014</v>
      </c>
      <c r="Q74">
        <f>Q73+(Q73*E74/100)</f>
        <v>1077.1544935538097</v>
      </c>
    </row>
    <row r="75" spans="1:17" x14ac:dyDescent="0.25">
      <c r="A75" s="1">
        <v>45155</v>
      </c>
      <c r="B75">
        <v>-1.0799615715490201</v>
      </c>
      <c r="C75">
        <v>-0.38116925317529499</v>
      </c>
      <c r="D75">
        <v>-1.0095571409341799</v>
      </c>
      <c r="E75">
        <v>0.20066359755972399</v>
      </c>
      <c r="F75" s="3">
        <v>0.161337738642368</v>
      </c>
      <c r="G75">
        <f t="shared" si="11"/>
        <v>-1.05589591328426</v>
      </c>
      <c r="H75" t="str">
        <f>IF(F75&gt;$T$2,"buy",IF(F75&lt;0,"sell","keep"))</f>
        <v>buy</v>
      </c>
      <c r="I75" t="str">
        <f t="shared" si="13"/>
        <v>buy</v>
      </c>
      <c r="J75">
        <f t="shared" si="12"/>
        <v>0</v>
      </c>
      <c r="K75" t="str">
        <f t="shared" si="14"/>
        <v>keep</v>
      </c>
      <c r="L75">
        <f t="shared" si="9"/>
        <v>0</v>
      </c>
      <c r="M75">
        <f t="shared" si="10"/>
        <v>0</v>
      </c>
      <c r="N75">
        <f t="shared" si="15"/>
        <v>0</v>
      </c>
      <c r="O75">
        <f t="shared" si="16"/>
        <v>0</v>
      </c>
      <c r="P75">
        <f t="shared" si="17"/>
        <v>999.20631582698957</v>
      </c>
      <c r="Q75">
        <f>Q74+(Q74*E75/100)</f>
        <v>1079.315950511851</v>
      </c>
    </row>
    <row r="76" spans="1:17" x14ac:dyDescent="0.25">
      <c r="A76" s="1">
        <v>45156</v>
      </c>
      <c r="B76">
        <v>-0.14249794727436699</v>
      </c>
      <c r="C76">
        <v>-0.33477727361995702</v>
      </c>
      <c r="D76">
        <v>7.9999591169976902E-2</v>
      </c>
      <c r="E76">
        <v>-1.05589591328426</v>
      </c>
      <c r="F76" s="3">
        <v>4.4633263125020903E-2</v>
      </c>
      <c r="G76">
        <f t="shared" si="11"/>
        <v>7.3598874283353696E-2</v>
      </c>
      <c r="H76" t="str">
        <f>IF(F76&gt;$T$2,"buy",IF(F76&lt;0,"sell","keep"))</f>
        <v>keep</v>
      </c>
      <c r="I76" t="str">
        <f t="shared" si="13"/>
        <v>sell</v>
      </c>
      <c r="J76">
        <f t="shared" si="12"/>
        <v>1</v>
      </c>
      <c r="K76" t="str">
        <f t="shared" si="14"/>
        <v>sell</v>
      </c>
      <c r="L76">
        <f t="shared" si="9"/>
        <v>0</v>
      </c>
      <c r="M76">
        <f t="shared" si="10"/>
        <v>1</v>
      </c>
      <c r="N76">
        <f t="shared" si="15"/>
        <v>1</v>
      </c>
      <c r="O76">
        <f t="shared" si="16"/>
        <v>988.65573717289419</v>
      </c>
      <c r="P76">
        <f t="shared" si="17"/>
        <v>0</v>
      </c>
      <c r="Q76">
        <f>Q75+(Q75*E76/100)</f>
        <v>1067.9194974989712</v>
      </c>
    </row>
    <row r="77" spans="1:17" x14ac:dyDescent="0.25">
      <c r="A77" s="1">
        <v>45159</v>
      </c>
      <c r="B77">
        <v>1.64581981504454</v>
      </c>
      <c r="C77">
        <v>0.63718112280788297</v>
      </c>
      <c r="D77">
        <v>1.33096564276957E-2</v>
      </c>
      <c r="E77">
        <v>7.3598874283353696E-2</v>
      </c>
      <c r="F77" s="3">
        <v>7.1468688825057497E-2</v>
      </c>
      <c r="G77">
        <f t="shared" si="11"/>
        <v>0.49641331127749899</v>
      </c>
      <c r="H77" t="str">
        <f>IF(F77&gt;$T$2,"buy",IF(F77&lt;0,"sell","keep"))</f>
        <v>keep</v>
      </c>
      <c r="I77" t="str">
        <f t="shared" si="13"/>
        <v>sell</v>
      </c>
      <c r="J77">
        <f t="shared" si="12"/>
        <v>1</v>
      </c>
      <c r="K77" t="str">
        <f t="shared" si="14"/>
        <v>keep</v>
      </c>
      <c r="L77">
        <f t="shared" si="9"/>
        <v>0</v>
      </c>
      <c r="M77">
        <f t="shared" si="10"/>
        <v>0</v>
      </c>
      <c r="N77">
        <f t="shared" si="15"/>
        <v>0</v>
      </c>
      <c r="O77">
        <f t="shared" si="16"/>
        <v>988.65573717289419</v>
      </c>
      <c r="P77">
        <f t="shared" si="17"/>
        <v>0</v>
      </c>
      <c r="Q77">
        <f>Q76+(Q76*E77/100)</f>
        <v>1068.7054742273829</v>
      </c>
    </row>
    <row r="78" spans="1:17" x14ac:dyDescent="0.25">
      <c r="A78" s="1">
        <v>45160</v>
      </c>
      <c r="B78">
        <v>-0.18565336732750901</v>
      </c>
      <c r="C78">
        <v>2.64659715294213E-2</v>
      </c>
      <c r="D78">
        <v>-1.2786335965164599</v>
      </c>
      <c r="E78">
        <v>0.49641331127749899</v>
      </c>
      <c r="F78" s="3">
        <v>0.103885841117013</v>
      </c>
      <c r="G78">
        <f t="shared" si="11"/>
        <v>0.29271805024664299</v>
      </c>
      <c r="H78" t="str">
        <f>IF(F78&gt;$T$2,"buy",IF(F78&lt;0,"sell","keep"))</f>
        <v>keep</v>
      </c>
      <c r="I78" t="str">
        <f t="shared" si="13"/>
        <v>sell</v>
      </c>
      <c r="J78">
        <f t="shared" si="12"/>
        <v>1</v>
      </c>
      <c r="K78" t="str">
        <f t="shared" si="14"/>
        <v>keep</v>
      </c>
      <c r="L78">
        <f t="shared" si="9"/>
        <v>0</v>
      </c>
      <c r="M78">
        <f t="shared" si="10"/>
        <v>0</v>
      </c>
      <c r="N78">
        <f t="shared" si="15"/>
        <v>0</v>
      </c>
      <c r="O78">
        <f t="shared" si="16"/>
        <v>988.65573717289419</v>
      </c>
      <c r="P78">
        <f t="shared" si="17"/>
        <v>0</v>
      </c>
      <c r="Q78">
        <f>Q77+(Q77*E78/100)</f>
        <v>1074.0106704597988</v>
      </c>
    </row>
    <row r="79" spans="1:17" x14ac:dyDescent="0.25">
      <c r="A79" s="1">
        <v>45161</v>
      </c>
      <c r="B79">
        <v>1.6037309778915201</v>
      </c>
      <c r="C79">
        <v>0.201300102448187</v>
      </c>
      <c r="D79">
        <v>-0.78251772585177204</v>
      </c>
      <c r="E79">
        <v>0.29271805024664299</v>
      </c>
      <c r="F79" s="3">
        <v>7.4287095070119601E-4</v>
      </c>
      <c r="G79">
        <f t="shared" si="11"/>
        <v>-5.47200689510196E-2</v>
      </c>
      <c r="H79" t="str">
        <f>IF(F79&gt;$T$2,"buy",IF(F79&lt;0,"sell","keep"))</f>
        <v>keep</v>
      </c>
      <c r="I79" t="str">
        <f t="shared" si="13"/>
        <v>sell</v>
      </c>
      <c r="J79">
        <f t="shared" si="12"/>
        <v>0</v>
      </c>
      <c r="K79" t="str">
        <f t="shared" si="14"/>
        <v>keep</v>
      </c>
      <c r="L79">
        <f t="shared" si="9"/>
        <v>0</v>
      </c>
      <c r="M79">
        <f t="shared" si="10"/>
        <v>0</v>
      </c>
      <c r="N79">
        <f t="shared" si="15"/>
        <v>0</v>
      </c>
      <c r="O79">
        <f t="shared" si="16"/>
        <v>988.65573717289419</v>
      </c>
      <c r="P79">
        <f t="shared" si="17"/>
        <v>0</v>
      </c>
      <c r="Q79">
        <f>Q78+(Q78*E79/100)</f>
        <v>1077.1544935538095</v>
      </c>
    </row>
    <row r="80" spans="1:17" x14ac:dyDescent="0.25">
      <c r="A80" s="1">
        <v>45162</v>
      </c>
      <c r="B80">
        <v>-2.1891856120959199</v>
      </c>
      <c r="C80">
        <v>-0.108379586532081</v>
      </c>
      <c r="D80">
        <v>-0.30595268339767001</v>
      </c>
      <c r="E80">
        <v>-5.47200689510196E-2</v>
      </c>
      <c r="F80" s="3">
        <v>0.25858499358604198</v>
      </c>
      <c r="G80">
        <f t="shared" si="11"/>
        <v>0</v>
      </c>
      <c r="H80" t="str">
        <f>IF(F80&gt;$T$2,"buy",IF(F80&lt;0,"sell","keep"))</f>
        <v>buy</v>
      </c>
      <c r="I80" t="str">
        <f t="shared" si="13"/>
        <v>buy</v>
      </c>
      <c r="J80">
        <f t="shared" si="12"/>
        <v>0</v>
      </c>
      <c r="K80" t="str">
        <f t="shared" si="14"/>
        <v>buy</v>
      </c>
      <c r="L80">
        <f t="shared" si="9"/>
        <v>1</v>
      </c>
      <c r="M80">
        <f t="shared" si="10"/>
        <v>0</v>
      </c>
      <c r="N80">
        <f t="shared" si="15"/>
        <v>0</v>
      </c>
      <c r="O80">
        <f t="shared" si="16"/>
        <v>0</v>
      </c>
      <c r="P80">
        <f t="shared" si="17"/>
        <v>988.65573717289419</v>
      </c>
      <c r="Q80">
        <f>Q79+(Q79*E80/100)</f>
        <v>1076.5650738722279</v>
      </c>
    </row>
    <row r="81" spans="1:17" x14ac:dyDescent="0.25">
      <c r="A81" s="1">
        <v>45163</v>
      </c>
      <c r="B81">
        <v>0.84628726469455595</v>
      </c>
      <c r="C81">
        <v>0.96577074592705203</v>
      </c>
      <c r="D81">
        <v>4.0918883541896101E-2</v>
      </c>
      <c r="E81">
        <v>0</v>
      </c>
      <c r="F81" s="3">
        <v>0.214168079205417</v>
      </c>
      <c r="G81">
        <f t="shared" si="11"/>
        <v>1.1498440223705899</v>
      </c>
      <c r="H81" t="str">
        <f>IF(F81&gt;$T$2,"buy",IF(F81&lt;0,"sell","keep"))</f>
        <v>buy</v>
      </c>
      <c r="I81" t="str">
        <f t="shared" si="13"/>
        <v>buy</v>
      </c>
      <c r="J81">
        <f t="shared" si="12"/>
        <v>1</v>
      </c>
      <c r="K81" t="str">
        <f t="shared" si="14"/>
        <v>keep</v>
      </c>
      <c r="L81">
        <f t="shared" si="9"/>
        <v>0</v>
      </c>
      <c r="M81">
        <f t="shared" si="10"/>
        <v>0</v>
      </c>
      <c r="N81">
        <f t="shared" si="15"/>
        <v>0</v>
      </c>
      <c r="O81">
        <f t="shared" si="16"/>
        <v>0</v>
      </c>
      <c r="P81">
        <f t="shared" si="17"/>
        <v>988.11474407182493</v>
      </c>
      <c r="Q81">
        <f>Q80+(Q80*E81/100)</f>
        <v>1076.5650738722279</v>
      </c>
    </row>
    <row r="82" spans="1:17" x14ac:dyDescent="0.25">
      <c r="A82" s="1">
        <v>45166</v>
      </c>
      <c r="B82">
        <v>0.74040383429645396</v>
      </c>
      <c r="C82">
        <v>0.12579722422099099</v>
      </c>
      <c r="D82">
        <v>0.50447117273499897</v>
      </c>
      <c r="E82">
        <v>1.1498440223705899</v>
      </c>
      <c r="F82" s="3">
        <v>8.51352747279598E-2</v>
      </c>
      <c r="G82">
        <f t="shared" si="11"/>
        <v>0.79394139851147705</v>
      </c>
      <c r="H82" t="str">
        <f>IF(F82&gt;$T$2,"buy",IF(F82&lt;0,"sell","keep"))</f>
        <v>keep</v>
      </c>
      <c r="I82" t="str">
        <f t="shared" si="13"/>
        <v>sell</v>
      </c>
      <c r="J82">
        <f t="shared" si="12"/>
        <v>1</v>
      </c>
      <c r="K82" t="str">
        <f t="shared" si="14"/>
        <v>sell</v>
      </c>
      <c r="L82">
        <f t="shared" si="9"/>
        <v>0</v>
      </c>
      <c r="M82">
        <f t="shared" si="10"/>
        <v>1</v>
      </c>
      <c r="N82">
        <f t="shared" si="15"/>
        <v>1</v>
      </c>
      <c r="O82">
        <f t="shared" si="16"/>
        <v>999.47652239069726</v>
      </c>
      <c r="P82">
        <f t="shared" si="17"/>
        <v>0</v>
      </c>
      <c r="Q82">
        <f>Q81+(Q81*E82/100)</f>
        <v>1088.9438930210772</v>
      </c>
    </row>
    <row r="83" spans="1:17" x14ac:dyDescent="0.25">
      <c r="A83" s="1">
        <v>45167</v>
      </c>
      <c r="B83">
        <v>2.1530689640832201</v>
      </c>
      <c r="C83">
        <v>1.25107293429893</v>
      </c>
      <c r="D83">
        <v>0.108513609985205</v>
      </c>
      <c r="E83">
        <v>0.79394139851147705</v>
      </c>
      <c r="F83" s="3">
        <v>0.216117559453919</v>
      </c>
      <c r="G83">
        <f t="shared" si="11"/>
        <v>-0.21482042524516501</v>
      </c>
      <c r="H83" t="str">
        <f>IF(F83&gt;$T$2,"buy",IF(F83&lt;0,"sell","keep"))</f>
        <v>buy</v>
      </c>
      <c r="I83" t="str">
        <f t="shared" si="13"/>
        <v>buy</v>
      </c>
      <c r="J83">
        <f t="shared" si="12"/>
        <v>0</v>
      </c>
      <c r="K83" t="str">
        <f t="shared" si="14"/>
        <v>buy</v>
      </c>
      <c r="L83">
        <f t="shared" si="9"/>
        <v>1</v>
      </c>
      <c r="M83">
        <f t="shared" si="10"/>
        <v>0</v>
      </c>
      <c r="N83">
        <f t="shared" si="15"/>
        <v>0</v>
      </c>
      <c r="O83">
        <f t="shared" si="16"/>
        <v>0</v>
      </c>
      <c r="P83">
        <f t="shared" si="17"/>
        <v>999.47652239069726</v>
      </c>
      <c r="Q83">
        <f>Q82+(Q82*E83/100)</f>
        <v>1097.5894693943342</v>
      </c>
    </row>
    <row r="84" spans="1:17" x14ac:dyDescent="0.25">
      <c r="A84" s="1">
        <v>45168</v>
      </c>
      <c r="B84">
        <v>0.55851204531149801</v>
      </c>
      <c r="C84">
        <v>6.20433788931729E-2</v>
      </c>
      <c r="D84">
        <v>0.49460820593407701</v>
      </c>
      <c r="E84">
        <v>-0.21482042524516501</v>
      </c>
      <c r="F84" s="3">
        <v>9.0443063455058301E-2</v>
      </c>
      <c r="G84">
        <f t="shared" si="11"/>
        <v>-0.34087861748737203</v>
      </c>
      <c r="H84" t="str">
        <f>IF(F84&gt;$T$2,"buy",IF(F84&lt;0,"sell","keep"))</f>
        <v>keep</v>
      </c>
      <c r="I84" t="str">
        <f t="shared" si="13"/>
        <v>sell</v>
      </c>
      <c r="J84">
        <f t="shared" si="12"/>
        <v>0</v>
      </c>
      <c r="K84" t="str">
        <f t="shared" si="14"/>
        <v>sell</v>
      </c>
      <c r="L84">
        <f t="shared" si="9"/>
        <v>0</v>
      </c>
      <c r="M84">
        <f t="shared" si="10"/>
        <v>1</v>
      </c>
      <c r="N84">
        <f t="shared" si="15"/>
        <v>0</v>
      </c>
      <c r="O84">
        <f t="shared" si="16"/>
        <v>997.32944267507196</v>
      </c>
      <c r="P84">
        <f t="shared" si="17"/>
        <v>0</v>
      </c>
      <c r="Q84">
        <f>Q83+(Q83*E84/100)</f>
        <v>1095.2316230287352</v>
      </c>
    </row>
    <row r="85" spans="1:17" x14ac:dyDescent="0.25">
      <c r="A85" s="1">
        <v>45169</v>
      </c>
      <c r="B85">
        <v>0.24990008543894701</v>
      </c>
      <c r="C85">
        <v>-1.29088718297198E-2</v>
      </c>
      <c r="D85">
        <v>-0.91691543171851198</v>
      </c>
      <c r="E85">
        <v>-0.34087861748737203</v>
      </c>
      <c r="F85" s="3">
        <v>7.3691244596689201E-2</v>
      </c>
      <c r="G85">
        <f t="shared" si="11"/>
        <v>0.270027915094672</v>
      </c>
      <c r="H85" t="str">
        <f>IF(F85&gt;$T$2,"buy",IF(F85&lt;0,"sell","keep"))</f>
        <v>keep</v>
      </c>
      <c r="I85" t="str">
        <f t="shared" si="13"/>
        <v>sell</v>
      </c>
      <c r="J85">
        <f t="shared" si="12"/>
        <v>1</v>
      </c>
      <c r="K85" t="str">
        <f t="shared" si="14"/>
        <v>keep</v>
      </c>
      <c r="L85">
        <f t="shared" si="9"/>
        <v>0</v>
      </c>
      <c r="M85">
        <f t="shared" si="10"/>
        <v>0</v>
      </c>
      <c r="N85">
        <f t="shared" si="15"/>
        <v>0</v>
      </c>
      <c r="O85">
        <f t="shared" si="16"/>
        <v>997.32944267507196</v>
      </c>
      <c r="P85">
        <f t="shared" si="17"/>
        <v>0</v>
      </c>
      <c r="Q85">
        <f>Q84+(Q84*E85/100)</f>
        <v>1091.4982126138702</v>
      </c>
    </row>
    <row r="86" spans="1:17" x14ac:dyDescent="0.25">
      <c r="A86" s="1">
        <v>45170</v>
      </c>
      <c r="B86">
        <v>-6.5866167507588794E-2</v>
      </c>
      <c r="C86">
        <v>0.81525247428921799</v>
      </c>
      <c r="D86">
        <v>0.84375792086253099</v>
      </c>
      <c r="E86">
        <v>0.270027915094672</v>
      </c>
      <c r="F86" s="3">
        <v>0.28026346653643303</v>
      </c>
      <c r="G86">
        <f t="shared" si="11"/>
        <v>-0.89814520436866097</v>
      </c>
      <c r="H86" t="str">
        <f>IF(F86&gt;$T$2,"buy",IF(F86&lt;0,"sell","keep"))</f>
        <v>buy</v>
      </c>
      <c r="I86" t="str">
        <f t="shared" si="13"/>
        <v>buy</v>
      </c>
      <c r="J86">
        <f t="shared" si="12"/>
        <v>0</v>
      </c>
      <c r="K86" t="str">
        <f t="shared" si="14"/>
        <v>buy</v>
      </c>
      <c r="L86">
        <f t="shared" si="9"/>
        <v>1</v>
      </c>
      <c r="M86">
        <f t="shared" si="10"/>
        <v>0</v>
      </c>
      <c r="N86">
        <f t="shared" si="15"/>
        <v>0</v>
      </c>
      <c r="O86">
        <f t="shared" si="16"/>
        <v>0</v>
      </c>
      <c r="P86">
        <f t="shared" si="17"/>
        <v>997.32944267507196</v>
      </c>
      <c r="Q86">
        <f>Q85+(Q85*E86/100)</f>
        <v>1094.4455624806872</v>
      </c>
    </row>
    <row r="87" spans="1:17" x14ac:dyDescent="0.25">
      <c r="A87" s="1">
        <v>45175</v>
      </c>
      <c r="B87">
        <v>-0.88211043045538495</v>
      </c>
      <c r="C87">
        <v>0.44285237582091203</v>
      </c>
      <c r="D87">
        <v>-0.33539457087666802</v>
      </c>
      <c r="E87">
        <v>-0.89814520436866097</v>
      </c>
      <c r="F87" s="3">
        <v>0.232404632645765</v>
      </c>
      <c r="G87">
        <f t="shared" si="11"/>
        <v>-0.199382845683271</v>
      </c>
      <c r="H87" t="str">
        <f>IF(F87&gt;$T$2,"buy",IF(F87&lt;0,"sell","keep"))</f>
        <v>buy</v>
      </c>
      <c r="I87" t="str">
        <f t="shared" si="13"/>
        <v>buy</v>
      </c>
      <c r="J87">
        <f t="shared" si="12"/>
        <v>0</v>
      </c>
      <c r="K87" t="str">
        <f t="shared" si="14"/>
        <v>keep</v>
      </c>
      <c r="L87">
        <f t="shared" si="9"/>
        <v>0</v>
      </c>
      <c r="M87">
        <f t="shared" si="10"/>
        <v>0</v>
      </c>
      <c r="N87">
        <f t="shared" si="15"/>
        <v>0</v>
      </c>
      <c r="O87">
        <f t="shared" si="16"/>
        <v>0</v>
      </c>
      <c r="P87">
        <f t="shared" si="17"/>
        <v>1000.0225105757528</v>
      </c>
      <c r="Q87">
        <f>Q86+(Q86*E87/100)</f>
        <v>1084.6158521468412</v>
      </c>
    </row>
    <row r="88" spans="1:17" x14ac:dyDescent="0.25">
      <c r="A88" s="1">
        <v>45176</v>
      </c>
      <c r="B88">
        <v>-0.73461494356384904</v>
      </c>
      <c r="C88">
        <v>0.86879758015094799</v>
      </c>
      <c r="D88">
        <v>2.26634978090105</v>
      </c>
      <c r="E88">
        <v>-0.199382845683271</v>
      </c>
      <c r="F88" s="3">
        <v>0.309745674418615</v>
      </c>
      <c r="G88">
        <f t="shared" si="11"/>
        <v>0.63567230556897902</v>
      </c>
      <c r="H88" t="str">
        <f>IF(F88&gt;$T$2,"buy",IF(F88&lt;0,"sell","keep"))</f>
        <v>buy</v>
      </c>
      <c r="I88" t="str">
        <f t="shared" si="13"/>
        <v>buy</v>
      </c>
      <c r="J88">
        <f t="shared" si="12"/>
        <v>1</v>
      </c>
      <c r="K88" t="str">
        <f t="shared" si="14"/>
        <v>keep</v>
      </c>
      <c r="L88">
        <f t="shared" si="9"/>
        <v>0</v>
      </c>
      <c r="M88">
        <f t="shared" si="10"/>
        <v>0</v>
      </c>
      <c r="N88">
        <f t="shared" si="15"/>
        <v>0</v>
      </c>
      <c r="O88">
        <f t="shared" si="16"/>
        <v>0</v>
      </c>
      <c r="P88">
        <f t="shared" si="17"/>
        <v>991.04085635440958</v>
      </c>
      <c r="Q88">
        <f>Q87+(Q87*E88/100)</f>
        <v>1082.453314196099</v>
      </c>
    </row>
    <row r="89" spans="1:17" x14ac:dyDescent="0.25">
      <c r="A89" s="1">
        <v>45177</v>
      </c>
      <c r="B89">
        <v>0.14228731336309799</v>
      </c>
      <c r="C89">
        <v>4.91562418802216E-2</v>
      </c>
      <c r="D89">
        <v>7.3869329185916002E-2</v>
      </c>
      <c r="E89">
        <v>0.63567230556897902</v>
      </c>
      <c r="F89" s="3">
        <v>9.3954474185166101E-2</v>
      </c>
      <c r="G89">
        <f t="shared" si="11"/>
        <v>0.90235949659289705</v>
      </c>
      <c r="H89" t="str">
        <f>IF(F89&gt;$T$2,"buy",IF(F89&lt;0,"sell","keep"))</f>
        <v>keep</v>
      </c>
      <c r="I89" t="str">
        <f t="shared" si="13"/>
        <v>sell</v>
      </c>
      <c r="J89">
        <f t="shared" si="12"/>
        <v>1</v>
      </c>
      <c r="K89" t="str">
        <f t="shared" si="14"/>
        <v>sell</v>
      </c>
      <c r="L89">
        <f t="shared" si="9"/>
        <v>0</v>
      </c>
      <c r="M89">
        <f t="shared" si="10"/>
        <v>1</v>
      </c>
      <c r="N89">
        <f t="shared" si="15"/>
        <v>1</v>
      </c>
      <c r="O89">
        <f t="shared" si="16"/>
        <v>997.34062861512825</v>
      </c>
      <c r="P89">
        <f t="shared" si="17"/>
        <v>0</v>
      </c>
      <c r="Q89">
        <f>Q88+(Q88*E89/100)</f>
        <v>1089.3341701351571</v>
      </c>
    </row>
    <row r="90" spans="1:17" x14ac:dyDescent="0.25">
      <c r="A90" s="1">
        <v>45180</v>
      </c>
      <c r="B90">
        <v>1.1887232251436</v>
      </c>
      <c r="C90">
        <v>0.65665055044259402</v>
      </c>
      <c r="D90">
        <v>1.3398505093675701E-2</v>
      </c>
      <c r="E90">
        <v>0.90235949659289705</v>
      </c>
      <c r="F90" s="3">
        <v>0.141406878547294</v>
      </c>
      <c r="G90">
        <f t="shared" si="11"/>
        <v>0.67966908935481696</v>
      </c>
      <c r="H90" t="str">
        <f>IF(F90&gt;$T$2,"buy",IF(F90&lt;0,"sell","keep"))</f>
        <v>keep</v>
      </c>
      <c r="I90" t="str">
        <f t="shared" si="13"/>
        <v>sell</v>
      </c>
      <c r="J90">
        <f t="shared" si="12"/>
        <v>1</v>
      </c>
      <c r="K90" t="str">
        <f t="shared" si="14"/>
        <v>keep</v>
      </c>
      <c r="L90">
        <f t="shared" si="9"/>
        <v>0</v>
      </c>
      <c r="M90">
        <f t="shared" si="10"/>
        <v>0</v>
      </c>
      <c r="N90">
        <f t="shared" si="15"/>
        <v>0</v>
      </c>
      <c r="O90">
        <f t="shared" si="16"/>
        <v>997.34062861512825</v>
      </c>
      <c r="P90">
        <f t="shared" si="17"/>
        <v>0</v>
      </c>
      <c r="Q90">
        <f>Q89+(Q89*E90/100)</f>
        <v>1099.1638804690031</v>
      </c>
    </row>
    <row r="91" spans="1:17" x14ac:dyDescent="0.25">
      <c r="A91" s="1">
        <v>45181</v>
      </c>
      <c r="B91">
        <v>-1.1132539693316801</v>
      </c>
      <c r="C91">
        <v>-0.36728850605305302</v>
      </c>
      <c r="D91">
        <v>0.15436409574332</v>
      </c>
      <c r="E91">
        <v>0.67966908935481696</v>
      </c>
      <c r="F91" s="3">
        <v>0.112063662525241</v>
      </c>
      <c r="G91">
        <f t="shared" si="11"/>
        <v>1.54556211690417</v>
      </c>
      <c r="H91" t="str">
        <f>IF(F91&gt;$T$2,"buy",IF(F91&lt;0,"sell","keep"))</f>
        <v>keep</v>
      </c>
      <c r="I91" t="str">
        <f t="shared" si="13"/>
        <v>sell</v>
      </c>
      <c r="J91">
        <f t="shared" si="12"/>
        <v>1</v>
      </c>
      <c r="K91" t="str">
        <f t="shared" si="14"/>
        <v>keep</v>
      </c>
      <c r="L91">
        <f t="shared" si="9"/>
        <v>0</v>
      </c>
      <c r="M91">
        <f t="shared" si="10"/>
        <v>0</v>
      </c>
      <c r="N91">
        <f t="shared" si="15"/>
        <v>0</v>
      </c>
      <c r="O91">
        <f t="shared" si="16"/>
        <v>997.34062861512825</v>
      </c>
      <c r="P91">
        <f t="shared" si="17"/>
        <v>0</v>
      </c>
      <c r="Q91">
        <f>Q90+(Q90*E91/100)</f>
        <v>1106.6345576059039</v>
      </c>
    </row>
    <row r="92" spans="1:17" x14ac:dyDescent="0.25">
      <c r="A92" s="1">
        <v>45182</v>
      </c>
      <c r="B92">
        <v>0.384506460942524</v>
      </c>
      <c r="C92">
        <v>-0.71406015027246605</v>
      </c>
      <c r="D92">
        <v>1.26614813397232</v>
      </c>
      <c r="E92">
        <v>1.54556211690417</v>
      </c>
      <c r="F92" s="3">
        <v>-9.98243185871674E-3</v>
      </c>
      <c r="G92">
        <f t="shared" si="11"/>
        <v>1.9769165817997001</v>
      </c>
      <c r="H92" t="str">
        <f>IF(F92&gt;$T$2,"buy",IF(F92&lt;0,"sell","keep"))</f>
        <v>sell</v>
      </c>
      <c r="I92" t="str">
        <f t="shared" si="13"/>
        <v>sell</v>
      </c>
      <c r="J92">
        <f t="shared" si="12"/>
        <v>0</v>
      </c>
      <c r="K92" t="str">
        <f t="shared" si="14"/>
        <v>keep</v>
      </c>
      <c r="L92">
        <f t="shared" si="9"/>
        <v>0</v>
      </c>
      <c r="M92">
        <f t="shared" si="10"/>
        <v>0</v>
      </c>
      <c r="N92">
        <f t="shared" si="15"/>
        <v>0</v>
      </c>
      <c r="O92">
        <f t="shared" si="16"/>
        <v>997.34062861512825</v>
      </c>
      <c r="P92">
        <f t="shared" si="17"/>
        <v>0</v>
      </c>
      <c r="Q92">
        <f>Q91+(Q91*E92/100)</f>
        <v>1123.7382821008307</v>
      </c>
    </row>
    <row r="93" spans="1:17" x14ac:dyDescent="0.25">
      <c r="A93" s="1">
        <v>45183</v>
      </c>
      <c r="B93">
        <v>0.81675165482748502</v>
      </c>
      <c r="C93">
        <v>1.20731006529826</v>
      </c>
      <c r="D93">
        <v>1.64061692021058</v>
      </c>
      <c r="E93">
        <v>1.9769165817997001</v>
      </c>
      <c r="F93" s="3">
        <v>0.333394302255691</v>
      </c>
      <c r="G93">
        <f t="shared" si="11"/>
        <v>0.84061404695756603</v>
      </c>
      <c r="H93" t="str">
        <f>IF(F93&gt;$T$2,"buy",IF(F93&lt;0,"sell","keep"))</f>
        <v>buy</v>
      </c>
      <c r="I93" t="str">
        <f t="shared" si="13"/>
        <v>buy</v>
      </c>
      <c r="J93">
        <f t="shared" si="12"/>
        <v>1</v>
      </c>
      <c r="K93" t="str">
        <f t="shared" si="14"/>
        <v>buy</v>
      </c>
      <c r="L93">
        <f t="shared" si="9"/>
        <v>1</v>
      </c>
      <c r="M93">
        <f t="shared" si="10"/>
        <v>0</v>
      </c>
      <c r="N93">
        <f t="shared" si="15"/>
        <v>1</v>
      </c>
      <c r="O93">
        <f t="shared" si="16"/>
        <v>0</v>
      </c>
      <c r="P93">
        <f t="shared" si="17"/>
        <v>997.34062861512825</v>
      </c>
      <c r="Q93">
        <f>Q92+(Q92*E93/100)</f>
        <v>1145.9536505357132</v>
      </c>
    </row>
    <row r="94" spans="1:17" x14ac:dyDescent="0.25">
      <c r="A94" s="1">
        <v>45184</v>
      </c>
      <c r="B94">
        <v>-1.75449912065202</v>
      </c>
      <c r="C94">
        <v>-0.464326673556203</v>
      </c>
      <c r="D94">
        <v>-0.98930443867367701</v>
      </c>
      <c r="E94">
        <v>0.84061404695756603</v>
      </c>
      <c r="F94" s="3">
        <v>0.14291983934442001</v>
      </c>
      <c r="G94">
        <f t="shared" si="11"/>
        <v>-1.1058075306616899</v>
      </c>
      <c r="H94" t="str">
        <f>IF(F94&gt;$T$2,"buy",IF(F94&lt;0,"sell","keep"))</f>
        <v>keep</v>
      </c>
      <c r="I94" t="str">
        <f t="shared" si="13"/>
        <v>sell</v>
      </c>
      <c r="J94">
        <f t="shared" si="12"/>
        <v>0</v>
      </c>
      <c r="K94" t="str">
        <f t="shared" si="14"/>
        <v>sell</v>
      </c>
      <c r="L94">
        <f t="shared" si="9"/>
        <v>0</v>
      </c>
      <c r="M94">
        <f t="shared" si="10"/>
        <v>1</v>
      </c>
      <c r="N94">
        <f t="shared" si="15"/>
        <v>0</v>
      </c>
      <c r="O94">
        <f t="shared" si="16"/>
        <v>1005.7244140352819</v>
      </c>
      <c r="P94">
        <f t="shared" si="17"/>
        <v>0</v>
      </c>
      <c r="Q94">
        <f>Q93+(Q93*E94/100)</f>
        <v>1155.5866978937395</v>
      </c>
    </row>
    <row r="95" spans="1:17" x14ac:dyDescent="0.25">
      <c r="A95" s="1">
        <v>45187</v>
      </c>
      <c r="B95">
        <v>0.15109276148697001</v>
      </c>
      <c r="C95">
        <v>-0.118555535798092</v>
      </c>
      <c r="D95">
        <v>1.1964110298579</v>
      </c>
      <c r="E95">
        <v>-1.1058075306616899</v>
      </c>
      <c r="F95" s="3">
        <v>0.178576538173852</v>
      </c>
      <c r="G95">
        <f t="shared" si="11"/>
        <v>0.82573372012044699</v>
      </c>
      <c r="H95" t="str">
        <f>IF(F95&gt;$T$2,"buy",IF(F95&lt;0,"sell","keep"))</f>
        <v>buy</v>
      </c>
      <c r="I95" t="str">
        <f t="shared" si="13"/>
        <v>buy</v>
      </c>
      <c r="J95">
        <f t="shared" si="12"/>
        <v>1</v>
      </c>
      <c r="K95" t="str">
        <f t="shared" si="14"/>
        <v>buy</v>
      </c>
      <c r="L95">
        <f t="shared" si="9"/>
        <v>1</v>
      </c>
      <c r="M95">
        <f t="shared" si="10"/>
        <v>0</v>
      </c>
      <c r="N95">
        <f t="shared" si="15"/>
        <v>1</v>
      </c>
      <c r="O95">
        <f t="shared" si="16"/>
        <v>0</v>
      </c>
      <c r="P95">
        <f t="shared" si="17"/>
        <v>1005.7244140352819</v>
      </c>
      <c r="Q95">
        <f>Q94+(Q94*E95/100)</f>
        <v>1142.8081331651058</v>
      </c>
    </row>
    <row r="96" spans="1:17" x14ac:dyDescent="0.25">
      <c r="A96" s="1">
        <v>45188</v>
      </c>
      <c r="B96">
        <v>-0.22422869312688201</v>
      </c>
      <c r="C96">
        <v>0.58058902936395296</v>
      </c>
      <c r="D96">
        <v>-0.29230775560173899</v>
      </c>
      <c r="E96">
        <v>0.82573372012044699</v>
      </c>
      <c r="F96" s="3">
        <v>0.212303919801476</v>
      </c>
      <c r="G96">
        <f t="shared" si="11"/>
        <v>0.15355209588021601</v>
      </c>
      <c r="H96" t="str">
        <f>IF(F96&gt;$T$2,"buy",IF(F96&lt;0,"sell","keep"))</f>
        <v>buy</v>
      </c>
      <c r="I96" t="str">
        <f t="shared" si="13"/>
        <v>buy</v>
      </c>
      <c r="J96">
        <f t="shared" si="12"/>
        <v>1</v>
      </c>
      <c r="K96" t="str">
        <f t="shared" si="14"/>
        <v>keep</v>
      </c>
      <c r="L96">
        <f t="shared" si="9"/>
        <v>0</v>
      </c>
      <c r="M96">
        <f t="shared" si="10"/>
        <v>0</v>
      </c>
      <c r="N96">
        <f t="shared" si="15"/>
        <v>0</v>
      </c>
      <c r="O96">
        <f t="shared" si="16"/>
        <v>0</v>
      </c>
      <c r="P96">
        <f t="shared" si="17"/>
        <v>994.60303772717668</v>
      </c>
      <c r="Q96">
        <f>Q95+(Q95*E96/100)</f>
        <v>1152.244685276929</v>
      </c>
    </row>
    <row r="97" spans="1:17" x14ac:dyDescent="0.25">
      <c r="A97" s="1">
        <v>45189</v>
      </c>
      <c r="B97">
        <v>-1.45683094815959</v>
      </c>
      <c r="C97">
        <v>-2.8118431967021298</v>
      </c>
      <c r="D97">
        <v>7.8169290207852293E-2</v>
      </c>
      <c r="E97">
        <v>0.15355209588021601</v>
      </c>
      <c r="F97" s="3">
        <v>-0.19224977142725</v>
      </c>
      <c r="G97">
        <f t="shared" si="11"/>
        <v>-0.698460394488298</v>
      </c>
      <c r="H97" t="str">
        <f>IF(F97&gt;$T$2,"buy",IF(F97&lt;0,"sell","keep"))</f>
        <v>sell</v>
      </c>
      <c r="I97" t="str">
        <f t="shared" si="13"/>
        <v>sell</v>
      </c>
      <c r="J97">
        <f t="shared" si="12"/>
        <v>1</v>
      </c>
      <c r="K97" t="str">
        <f t="shared" si="14"/>
        <v>sell</v>
      </c>
      <c r="L97">
        <f t="shared" si="9"/>
        <v>0</v>
      </c>
      <c r="M97">
        <f t="shared" si="10"/>
        <v>1</v>
      </c>
      <c r="N97">
        <f t="shared" si="15"/>
        <v>1</v>
      </c>
      <c r="O97">
        <f t="shared" si="16"/>
        <v>996.13027153729502</v>
      </c>
      <c r="P97">
        <f t="shared" si="17"/>
        <v>0</v>
      </c>
      <c r="Q97">
        <f>Q96+(Q96*E97/100)</f>
        <v>1154.0139811408401</v>
      </c>
    </row>
    <row r="98" spans="1:17" x14ac:dyDescent="0.25">
      <c r="A98" s="1">
        <v>45190</v>
      </c>
      <c r="B98">
        <v>-1.84155752962418</v>
      </c>
      <c r="C98">
        <v>-1.6841804221455401</v>
      </c>
      <c r="D98">
        <v>-0.117178625143188</v>
      </c>
      <c r="E98">
        <v>-0.698460394488298</v>
      </c>
      <c r="F98" s="3">
        <v>-7.9062069664605994E-2</v>
      </c>
      <c r="G98">
        <f t="shared" si="11"/>
        <v>-1.1151250591230499</v>
      </c>
      <c r="H98" t="str">
        <f>IF(F98&gt;$T$2,"buy",IF(F98&lt;0,"sell","keep"))</f>
        <v>sell</v>
      </c>
      <c r="I98" t="str">
        <f t="shared" si="13"/>
        <v>sell</v>
      </c>
      <c r="J98">
        <f t="shared" si="12"/>
        <v>1</v>
      </c>
      <c r="K98" t="str">
        <f t="shared" si="14"/>
        <v>keep</v>
      </c>
      <c r="L98">
        <f t="shared" si="9"/>
        <v>0</v>
      </c>
      <c r="M98">
        <f t="shared" si="10"/>
        <v>0</v>
      </c>
      <c r="N98">
        <f t="shared" si="15"/>
        <v>0</v>
      </c>
      <c r="O98">
        <f t="shared" si="16"/>
        <v>996.13027153729502</v>
      </c>
      <c r="P98">
        <f t="shared" si="17"/>
        <v>0</v>
      </c>
      <c r="Q98">
        <f>Q97+(Q97*E98/100)</f>
        <v>1145.9536505357137</v>
      </c>
    </row>
    <row r="99" spans="1:17" x14ac:dyDescent="0.25">
      <c r="A99" s="1">
        <v>45191</v>
      </c>
      <c r="B99">
        <v>4.6680705436896702E-2</v>
      </c>
      <c r="C99">
        <v>0.13695377635092301</v>
      </c>
      <c r="D99">
        <v>-0.44972255829903701</v>
      </c>
      <c r="E99">
        <v>-1.1151250591230499</v>
      </c>
      <c r="F99" s="3">
        <v>0.12046449055000299</v>
      </c>
      <c r="G99">
        <f t="shared" si="11"/>
        <v>-0.69395747740718094</v>
      </c>
      <c r="H99" t="str">
        <f>IF(F99&gt;$T$2,"buy",IF(F99&lt;0,"sell","keep"))</f>
        <v>keep</v>
      </c>
      <c r="I99" t="str">
        <f t="shared" si="13"/>
        <v>sell</v>
      </c>
      <c r="J99">
        <f t="shared" si="12"/>
        <v>0</v>
      </c>
      <c r="K99" t="str">
        <f t="shared" si="14"/>
        <v>keep</v>
      </c>
      <c r="L99">
        <f t="shared" si="9"/>
        <v>0</v>
      </c>
      <c r="M99">
        <f t="shared" si="10"/>
        <v>0</v>
      </c>
      <c r="N99">
        <f t="shared" si="15"/>
        <v>0</v>
      </c>
      <c r="O99">
        <f t="shared" si="16"/>
        <v>996.13027153729502</v>
      </c>
      <c r="P99">
        <f t="shared" si="17"/>
        <v>0</v>
      </c>
      <c r="Q99">
        <f>Q98+(Q98*E99/100)</f>
        <v>1133.1748342126546</v>
      </c>
    </row>
    <row r="100" spans="1:17" x14ac:dyDescent="0.25">
      <c r="A100" s="1">
        <v>45194</v>
      </c>
      <c r="B100">
        <v>0.46119530546384602</v>
      </c>
      <c r="C100">
        <v>0.97063524627605202</v>
      </c>
      <c r="D100">
        <v>1.25049961825509</v>
      </c>
      <c r="E100">
        <v>-0.69395747740718094</v>
      </c>
      <c r="F100" s="3">
        <v>0.33899953130294602</v>
      </c>
      <c r="G100">
        <f t="shared" si="11"/>
        <v>8.7351794091516902E-2</v>
      </c>
      <c r="H100" t="str">
        <f>IF(F100&gt;$T$2,"buy",IF(F100&lt;0,"sell","keep"))</f>
        <v>buy</v>
      </c>
      <c r="I100" t="str">
        <f t="shared" si="13"/>
        <v>buy</v>
      </c>
      <c r="J100">
        <f t="shared" si="12"/>
        <v>1</v>
      </c>
      <c r="K100" t="str">
        <f t="shared" si="14"/>
        <v>buy</v>
      </c>
      <c r="L100">
        <f t="shared" si="9"/>
        <v>1</v>
      </c>
      <c r="M100">
        <f t="shared" si="10"/>
        <v>0</v>
      </c>
      <c r="N100">
        <f t="shared" si="15"/>
        <v>1</v>
      </c>
      <c r="O100">
        <f t="shared" si="16"/>
        <v>0</v>
      </c>
      <c r="P100">
        <f t="shared" si="17"/>
        <v>996.13027153729502</v>
      </c>
      <c r="Q100">
        <f>Q99+(Q99*E100/100)</f>
        <v>1125.3110827185394</v>
      </c>
    </row>
    <row r="101" spans="1:17" x14ac:dyDescent="0.25">
      <c r="A101" s="1">
        <v>45195</v>
      </c>
      <c r="B101">
        <v>-1.5104056943982</v>
      </c>
      <c r="C101">
        <v>-1.4260332499258199</v>
      </c>
      <c r="D101">
        <v>-0.478483956254804</v>
      </c>
      <c r="E101">
        <v>8.7351794091516902E-2</v>
      </c>
      <c r="F101" s="3">
        <v>-0.12812779096608501</v>
      </c>
      <c r="G101">
        <f t="shared" si="11"/>
        <v>-1.2218503564850201</v>
      </c>
      <c r="H101" t="str">
        <f>IF(F101&gt;$T$2,"buy",IF(F101&lt;0,"sell","keep"))</f>
        <v>sell</v>
      </c>
      <c r="I101" t="str">
        <f t="shared" si="13"/>
        <v>sell</v>
      </c>
      <c r="J101">
        <f t="shared" si="12"/>
        <v>1</v>
      </c>
      <c r="K101" t="str">
        <f t="shared" si="14"/>
        <v>sell</v>
      </c>
      <c r="L101">
        <f t="shared" si="9"/>
        <v>0</v>
      </c>
      <c r="M101">
        <f t="shared" si="10"/>
        <v>1</v>
      </c>
      <c r="N101">
        <f t="shared" si="15"/>
        <v>1</v>
      </c>
      <c r="O101">
        <f t="shared" si="16"/>
        <v>997.00040920097149</v>
      </c>
      <c r="P101">
        <f t="shared" si="17"/>
        <v>0</v>
      </c>
      <c r="Q101">
        <f>Q100+(Q100*E101/100)</f>
        <v>1126.2940621384048</v>
      </c>
    </row>
    <row r="102" spans="1:17" x14ac:dyDescent="0.25">
      <c r="A102" s="1">
        <v>45196</v>
      </c>
      <c r="B102">
        <v>0.236013193751172</v>
      </c>
      <c r="C102">
        <v>0.21822697771371999</v>
      </c>
      <c r="D102">
        <v>-0.50679502311932101</v>
      </c>
      <c r="E102">
        <v>-1.2218503564850201</v>
      </c>
      <c r="F102" s="3">
        <v>0.107293022168718</v>
      </c>
      <c r="G102">
        <f t="shared" si="11"/>
        <v>0.194379766774432</v>
      </c>
      <c r="H102" t="str">
        <f>IF(F102&gt;$T$2,"buy",IF(F102&lt;0,"sell","keep"))</f>
        <v>keep</v>
      </c>
      <c r="I102" t="str">
        <f t="shared" si="13"/>
        <v>sell</v>
      </c>
      <c r="J102">
        <f t="shared" si="12"/>
        <v>1</v>
      </c>
      <c r="K102" t="str">
        <f t="shared" si="14"/>
        <v>keep</v>
      </c>
      <c r="L102">
        <f t="shared" si="9"/>
        <v>0</v>
      </c>
      <c r="M102">
        <f t="shared" si="10"/>
        <v>0</v>
      </c>
      <c r="N102">
        <f t="shared" si="15"/>
        <v>0</v>
      </c>
      <c r="O102">
        <f t="shared" si="16"/>
        <v>997.00040920097149</v>
      </c>
      <c r="P102">
        <f t="shared" si="17"/>
        <v>0</v>
      </c>
      <c r="Q102">
        <f>Q101+(Q101*E102/100)</f>
        <v>1112.5324341250971</v>
      </c>
    </row>
    <row r="103" spans="1:17" x14ac:dyDescent="0.25">
      <c r="A103" s="1">
        <v>45197</v>
      </c>
      <c r="B103">
        <v>0.84093297800602596</v>
      </c>
      <c r="C103">
        <v>0.39782160425900698</v>
      </c>
      <c r="D103">
        <v>-0.57469068826290204</v>
      </c>
      <c r="E103">
        <v>0.194379766774432</v>
      </c>
      <c r="F103" s="3">
        <v>0.13658745495888899</v>
      </c>
      <c r="G103">
        <f t="shared" si="11"/>
        <v>-0.59965075608073803</v>
      </c>
      <c r="H103" t="str">
        <f>IF(F103&gt;$T$2,"buy",IF(F103&lt;0,"sell","keep"))</f>
        <v>keep</v>
      </c>
      <c r="I103" t="str">
        <f t="shared" si="13"/>
        <v>sell</v>
      </c>
      <c r="J103">
        <f t="shared" si="12"/>
        <v>0</v>
      </c>
      <c r="K103" t="str">
        <f t="shared" si="14"/>
        <v>keep</v>
      </c>
      <c r="L103">
        <f t="shared" si="9"/>
        <v>0</v>
      </c>
      <c r="M103">
        <f t="shared" si="10"/>
        <v>0</v>
      </c>
      <c r="N103">
        <f t="shared" si="15"/>
        <v>0</v>
      </c>
      <c r="O103">
        <f t="shared" si="16"/>
        <v>997.00040920097149</v>
      </c>
      <c r="P103">
        <f t="shared" si="17"/>
        <v>0</v>
      </c>
      <c r="Q103">
        <f>Q102+(Q102*E103/100)</f>
        <v>1114.6949720758394</v>
      </c>
    </row>
    <row r="104" spans="1:17" x14ac:dyDescent="0.25">
      <c r="A104" s="1">
        <v>45198</v>
      </c>
      <c r="B104">
        <v>8.4818734990665903E-2</v>
      </c>
      <c r="C104">
        <v>-0.30523025575677198</v>
      </c>
      <c r="D104">
        <v>-2.0952377407705698</v>
      </c>
      <c r="E104">
        <v>-0.59965075608073803</v>
      </c>
      <c r="F104" s="3">
        <v>-8.3427290532031295E-2</v>
      </c>
      <c r="G104">
        <f t="shared" si="11"/>
        <v>-1.75656476105913</v>
      </c>
      <c r="H104" t="str">
        <f>IF(F104&gt;$T$2,"buy",IF(F104&lt;0,"sell","keep"))</f>
        <v>sell</v>
      </c>
      <c r="I104" t="str">
        <f t="shared" si="13"/>
        <v>sell</v>
      </c>
      <c r="J104">
        <f t="shared" si="12"/>
        <v>1</v>
      </c>
      <c r="K104" t="str">
        <f t="shared" si="14"/>
        <v>keep</v>
      </c>
      <c r="L104">
        <f t="shared" si="9"/>
        <v>0</v>
      </c>
      <c r="M104">
        <f t="shared" si="10"/>
        <v>0</v>
      </c>
      <c r="N104">
        <f t="shared" si="15"/>
        <v>0</v>
      </c>
      <c r="O104">
        <f t="shared" si="16"/>
        <v>997.00040920097149</v>
      </c>
      <c r="P104">
        <f t="shared" si="17"/>
        <v>0</v>
      </c>
      <c r="Q104">
        <f>Q103+(Q103*E104/100)</f>
        <v>1108.0106952477927</v>
      </c>
    </row>
    <row r="105" spans="1:17" x14ac:dyDescent="0.25">
      <c r="A105" s="1">
        <v>45201</v>
      </c>
      <c r="B105">
        <v>0.83131553529949198</v>
      </c>
      <c r="C105">
        <v>-0.57473256440883003</v>
      </c>
      <c r="D105">
        <v>-0.54341074913668497</v>
      </c>
      <c r="E105">
        <v>-1.75656476105913</v>
      </c>
      <c r="F105" s="3">
        <v>-5.7277911128722402E-2</v>
      </c>
      <c r="G105">
        <f t="shared" si="11"/>
        <v>-1.37258748060061</v>
      </c>
      <c r="H105" t="str">
        <f>IF(F105&gt;$T$2,"buy",IF(F105&lt;0,"sell","keep"))</f>
        <v>sell</v>
      </c>
      <c r="I105" t="str">
        <f t="shared" si="13"/>
        <v>sell</v>
      </c>
      <c r="J105">
        <f t="shared" si="12"/>
        <v>1</v>
      </c>
      <c r="K105" t="str">
        <f t="shared" si="14"/>
        <v>keep</v>
      </c>
      <c r="L105">
        <f t="shared" si="9"/>
        <v>0</v>
      </c>
      <c r="M105">
        <f t="shared" si="10"/>
        <v>0</v>
      </c>
      <c r="N105">
        <f t="shared" si="15"/>
        <v>0</v>
      </c>
      <c r="O105">
        <f t="shared" si="16"/>
        <v>997.00040920097149</v>
      </c>
      <c r="P105">
        <f t="shared" si="17"/>
        <v>0</v>
      </c>
      <c r="Q105">
        <f>Q104+(Q104*E105/100)</f>
        <v>1088.5477698263037</v>
      </c>
    </row>
    <row r="106" spans="1:17" x14ac:dyDescent="0.25">
      <c r="A106" s="1">
        <v>45202</v>
      </c>
      <c r="B106">
        <v>-1.8328485701152399</v>
      </c>
      <c r="C106">
        <v>0.70771595646963403</v>
      </c>
      <c r="D106">
        <v>-0.55310264287257105</v>
      </c>
      <c r="E106">
        <v>-1.37258748060061</v>
      </c>
      <c r="F106" s="3">
        <v>0.170796393338949</v>
      </c>
      <c r="G106">
        <f t="shared" si="11"/>
        <v>-0.34792436246219299</v>
      </c>
      <c r="H106" t="str">
        <f>IF(F106&gt;$T$2,"buy",IF(F106&lt;0,"sell","keep"))</f>
        <v>buy</v>
      </c>
      <c r="I106" t="str">
        <f t="shared" si="13"/>
        <v>buy</v>
      </c>
      <c r="J106">
        <f t="shared" si="12"/>
        <v>0</v>
      </c>
      <c r="K106" t="str">
        <f t="shared" si="14"/>
        <v>buy</v>
      </c>
      <c r="L106">
        <f t="shared" si="9"/>
        <v>1</v>
      </c>
      <c r="M106">
        <f t="shared" si="10"/>
        <v>0</v>
      </c>
      <c r="N106">
        <f t="shared" si="15"/>
        <v>0</v>
      </c>
      <c r="O106">
        <f t="shared" si="16"/>
        <v>0</v>
      </c>
      <c r="P106">
        <f t="shared" si="17"/>
        <v>997.00040920097149</v>
      </c>
      <c r="Q106">
        <f>Q105+(Q105*E106/100)</f>
        <v>1073.6064994173107</v>
      </c>
    </row>
    <row r="107" spans="1:17" x14ac:dyDescent="0.25">
      <c r="A107" s="1">
        <v>45203</v>
      </c>
      <c r="B107">
        <v>1.4460756295844499</v>
      </c>
      <c r="C107">
        <v>1.55029716675172</v>
      </c>
      <c r="D107">
        <v>0.17634168165008199</v>
      </c>
      <c r="E107">
        <v>-0.34792436246219299</v>
      </c>
      <c r="F107" s="3">
        <v>0.35015040119878499</v>
      </c>
      <c r="G107">
        <f t="shared" si="11"/>
        <v>0.40426921713276798</v>
      </c>
      <c r="H107" t="str">
        <f>IF(F107&gt;$T$2,"buy",IF(F107&lt;0,"sell","keep"))</f>
        <v>buy</v>
      </c>
      <c r="I107" t="str">
        <f t="shared" si="13"/>
        <v>buy</v>
      </c>
      <c r="J107">
        <f t="shared" si="12"/>
        <v>1</v>
      </c>
      <c r="K107" t="str">
        <f t="shared" si="14"/>
        <v>keep</v>
      </c>
      <c r="L107">
        <f t="shared" si="9"/>
        <v>0</v>
      </c>
      <c r="M107">
        <f t="shared" si="10"/>
        <v>0</v>
      </c>
      <c r="N107">
        <f t="shared" si="15"/>
        <v>0</v>
      </c>
      <c r="O107">
        <f t="shared" si="16"/>
        <v>0</v>
      </c>
      <c r="P107">
        <f t="shared" si="17"/>
        <v>983.31570640274208</v>
      </c>
      <c r="Q107">
        <f>Q106+(Q106*E107/100)</f>
        <v>1069.8711608488604</v>
      </c>
    </row>
    <row r="108" spans="1:17" x14ac:dyDescent="0.25">
      <c r="A108" s="1">
        <v>45204</v>
      </c>
      <c r="B108">
        <v>-0.35888857753151299</v>
      </c>
      <c r="C108">
        <v>-2.3110990348261402</v>
      </c>
      <c r="D108">
        <v>-0.16248953054642801</v>
      </c>
      <c r="E108">
        <v>0.40426921713276798</v>
      </c>
      <c r="F108" s="3">
        <v>-0.35713419686471798</v>
      </c>
      <c r="G108">
        <f t="shared" si="11"/>
        <v>2.37920951330918</v>
      </c>
      <c r="H108" t="str">
        <f>IF(F108&gt;$T$2,"buy",IF(F108&lt;0,"sell","keep"))</f>
        <v>sell</v>
      </c>
      <c r="I108" t="str">
        <f t="shared" si="13"/>
        <v>sell</v>
      </c>
      <c r="J108">
        <f t="shared" si="12"/>
        <v>0</v>
      </c>
      <c r="K108" t="str">
        <f t="shared" si="14"/>
        <v>sell</v>
      </c>
      <c r="L108">
        <f t="shared" si="9"/>
        <v>0</v>
      </c>
      <c r="M108">
        <f t="shared" si="10"/>
        <v>1</v>
      </c>
      <c r="N108">
        <f t="shared" si="15"/>
        <v>0</v>
      </c>
      <c r="O108">
        <f t="shared" si="16"/>
        <v>987.29094911096001</v>
      </c>
      <c r="P108">
        <f t="shared" si="17"/>
        <v>0</v>
      </c>
      <c r="Q108">
        <f>Q107+(Q107*E108/100)</f>
        <v>1074.1963206151534</v>
      </c>
    </row>
    <row r="109" spans="1:17" x14ac:dyDescent="0.25">
      <c r="A109" s="1">
        <v>45205</v>
      </c>
      <c r="B109">
        <v>1.69813744857336</v>
      </c>
      <c r="C109">
        <v>0.99499526491915102</v>
      </c>
      <c r="D109">
        <v>0.53576908578465399</v>
      </c>
      <c r="E109">
        <v>2.37920951330918</v>
      </c>
      <c r="F109" s="3">
        <v>0.28246603076271798</v>
      </c>
      <c r="G109">
        <f t="shared" si="11"/>
        <v>-0.339652284214986</v>
      </c>
      <c r="H109" t="str">
        <f>IF(F109&gt;$T$2,"buy",IF(F109&lt;0,"sell","keep"))</f>
        <v>buy</v>
      </c>
      <c r="I109" t="str">
        <f t="shared" si="13"/>
        <v>buy</v>
      </c>
      <c r="J109">
        <f t="shared" si="12"/>
        <v>0</v>
      </c>
      <c r="K109" t="str">
        <f t="shared" si="14"/>
        <v>buy</v>
      </c>
      <c r="L109">
        <f t="shared" si="9"/>
        <v>1</v>
      </c>
      <c r="M109">
        <f t="shared" si="10"/>
        <v>0</v>
      </c>
      <c r="N109">
        <f t="shared" si="15"/>
        <v>0</v>
      </c>
      <c r="O109">
        <f t="shared" si="16"/>
        <v>0</v>
      </c>
      <c r="P109">
        <f t="shared" si="17"/>
        <v>987.29094911096001</v>
      </c>
      <c r="Q109">
        <f>Q108+(Q108*E109/100)</f>
        <v>1099.7537016668462</v>
      </c>
    </row>
    <row r="110" spans="1:17" x14ac:dyDescent="0.25">
      <c r="A110" s="1">
        <v>45208</v>
      </c>
      <c r="B110">
        <v>0.493614976405165</v>
      </c>
      <c r="C110">
        <v>5.08606932337674E-2</v>
      </c>
      <c r="D110">
        <v>0.58687986220691202</v>
      </c>
      <c r="E110">
        <v>-0.339652284214986</v>
      </c>
      <c r="F110" s="3">
        <v>0.15117183872449</v>
      </c>
      <c r="G110">
        <f t="shared" si="11"/>
        <v>1.5964194611761</v>
      </c>
      <c r="H110" t="str">
        <f>IF(F110&gt;$T$2,"buy",IF(F110&lt;0,"sell","keep"))</f>
        <v>buy</v>
      </c>
      <c r="I110" t="str">
        <f t="shared" si="13"/>
        <v>buy</v>
      </c>
      <c r="J110">
        <f t="shared" si="12"/>
        <v>1</v>
      </c>
      <c r="K110" t="str">
        <f t="shared" si="14"/>
        <v>keep</v>
      </c>
      <c r="L110">
        <f t="shared" si="9"/>
        <v>0</v>
      </c>
      <c r="M110">
        <f t="shared" si="10"/>
        <v>0</v>
      </c>
      <c r="N110">
        <f t="shared" si="15"/>
        <v>0</v>
      </c>
      <c r="O110">
        <f t="shared" si="16"/>
        <v>0</v>
      </c>
      <c r="P110">
        <f t="shared" si="17"/>
        <v>1010.7806692962484</v>
      </c>
      <c r="Q110">
        <f>Q109+(Q109*E110/100)</f>
        <v>1096.0183630983959</v>
      </c>
    </row>
    <row r="111" spans="1:17" x14ac:dyDescent="0.25">
      <c r="A111" s="1">
        <v>45209</v>
      </c>
      <c r="B111">
        <v>0.560698460736897</v>
      </c>
      <c r="C111">
        <v>1.39940327462062</v>
      </c>
      <c r="D111">
        <v>-0.14756287098196499</v>
      </c>
      <c r="E111">
        <v>1.5964194611761</v>
      </c>
      <c r="F111" s="3">
        <v>0.231897855302649</v>
      </c>
      <c r="G111">
        <f t="shared" si="11"/>
        <v>0.84745590380119695</v>
      </c>
      <c r="H111" t="str">
        <f>IF(F111&gt;$T$2,"buy",IF(F111&lt;0,"sell","keep"))</f>
        <v>buy</v>
      </c>
      <c r="I111" t="str">
        <f t="shared" si="13"/>
        <v>buy</v>
      </c>
      <c r="J111">
        <f t="shared" si="12"/>
        <v>1</v>
      </c>
      <c r="K111" t="str">
        <f t="shared" si="14"/>
        <v>keep</v>
      </c>
      <c r="L111">
        <f t="shared" si="9"/>
        <v>0</v>
      </c>
      <c r="M111">
        <f t="shared" si="10"/>
        <v>0</v>
      </c>
      <c r="N111">
        <f t="shared" si="15"/>
        <v>0</v>
      </c>
      <c r="O111">
        <f t="shared" si="16"/>
        <v>0</v>
      </c>
      <c r="P111">
        <f t="shared" si="17"/>
        <v>1007.3475296645802</v>
      </c>
      <c r="Q111">
        <f>Q110+(Q110*E111/100)</f>
        <v>1113.5154135449625</v>
      </c>
    </row>
    <row r="112" spans="1:17" x14ac:dyDescent="0.25">
      <c r="A112" s="1">
        <v>45210</v>
      </c>
      <c r="B112">
        <v>0.72431975989688502</v>
      </c>
      <c r="C112">
        <v>-7.6509173062866406E-2</v>
      </c>
      <c r="D112">
        <v>0.30225579177147699</v>
      </c>
      <c r="E112">
        <v>0.84745590380119695</v>
      </c>
      <c r="F112" s="3">
        <v>0.13994960759625999</v>
      </c>
      <c r="G112">
        <f t="shared" si="11"/>
        <v>-0.70028243410431501</v>
      </c>
      <c r="H112" t="str">
        <f>IF(F112&gt;$T$2,"buy",IF(F112&lt;0,"sell","keep"))</f>
        <v>keep</v>
      </c>
      <c r="I112" t="str">
        <f t="shared" si="13"/>
        <v>sell</v>
      </c>
      <c r="J112">
        <f t="shared" si="12"/>
        <v>0</v>
      </c>
      <c r="K112" t="str">
        <f t="shared" si="14"/>
        <v>sell</v>
      </c>
      <c r="L112">
        <f t="shared" si="9"/>
        <v>0</v>
      </c>
      <c r="M112">
        <f t="shared" si="10"/>
        <v>1</v>
      </c>
      <c r="N112">
        <f t="shared" si="15"/>
        <v>0</v>
      </c>
      <c r="O112">
        <f t="shared" si="16"/>
        <v>1015.8843557765182</v>
      </c>
      <c r="P112">
        <f t="shared" si="17"/>
        <v>0</v>
      </c>
      <c r="Q112">
        <f>Q111+(Q111*E112/100)</f>
        <v>1122.9519656567857</v>
      </c>
    </row>
    <row r="113" spans="1:17" x14ac:dyDescent="0.25">
      <c r="A113" s="1">
        <v>45211</v>
      </c>
      <c r="B113">
        <v>-0.37412281626333299</v>
      </c>
      <c r="C113">
        <v>-0.25352858096888697</v>
      </c>
      <c r="D113">
        <v>0.297584006240736</v>
      </c>
      <c r="E113">
        <v>-0.70028243410431501</v>
      </c>
      <c r="F113" s="3">
        <v>8.9529487036365499E-2</v>
      </c>
      <c r="G113">
        <f t="shared" si="11"/>
        <v>-1.234129181308</v>
      </c>
      <c r="H113" t="str">
        <f>IF(F113&gt;$T$2,"buy",IF(F113&lt;0,"sell","keep"))</f>
        <v>keep</v>
      </c>
      <c r="I113" t="str">
        <f t="shared" si="13"/>
        <v>sell</v>
      </c>
      <c r="J113">
        <f t="shared" si="12"/>
        <v>0</v>
      </c>
      <c r="K113" t="str">
        <f t="shared" si="14"/>
        <v>keep</v>
      </c>
      <c r="L113">
        <f t="shared" si="9"/>
        <v>0</v>
      </c>
      <c r="M113">
        <f t="shared" si="10"/>
        <v>0</v>
      </c>
      <c r="N113">
        <f t="shared" si="15"/>
        <v>0</v>
      </c>
      <c r="O113">
        <f t="shared" si="16"/>
        <v>1015.8843557765182</v>
      </c>
      <c r="P113">
        <f t="shared" si="17"/>
        <v>0</v>
      </c>
      <c r="Q113">
        <f>Q112+(Q112*E113/100)</f>
        <v>1115.0881302978621</v>
      </c>
    </row>
    <row r="114" spans="1:17" x14ac:dyDescent="0.25">
      <c r="A114" s="1">
        <v>45212</v>
      </c>
      <c r="B114">
        <v>-1.2445880694224301</v>
      </c>
      <c r="C114">
        <v>4.7638727841436898E-2</v>
      </c>
      <c r="D114">
        <v>-0.22927153850604801</v>
      </c>
      <c r="E114">
        <v>-1.234129181308</v>
      </c>
      <c r="F114" s="3">
        <v>4.3483511634680602E-2</v>
      </c>
      <c r="G114">
        <f t="shared" si="11"/>
        <v>3.5698607198431098E-2</v>
      </c>
      <c r="H114" t="str">
        <f>IF(F114&gt;$T$2,"buy",IF(F114&lt;0,"sell","keep"))</f>
        <v>keep</v>
      </c>
      <c r="I114" t="str">
        <f t="shared" si="13"/>
        <v>sell</v>
      </c>
      <c r="J114">
        <f t="shared" si="12"/>
        <v>1</v>
      </c>
      <c r="K114" t="str">
        <f t="shared" si="14"/>
        <v>keep</v>
      </c>
      <c r="L114">
        <f t="shared" si="9"/>
        <v>0</v>
      </c>
      <c r="M114">
        <f t="shared" si="10"/>
        <v>0</v>
      </c>
      <c r="N114">
        <f t="shared" si="15"/>
        <v>0</v>
      </c>
      <c r="O114">
        <f t="shared" si="16"/>
        <v>1015.8843557765182</v>
      </c>
      <c r="P114">
        <f t="shared" si="17"/>
        <v>0</v>
      </c>
      <c r="Q114">
        <f>Q113+(Q113*E114/100)</f>
        <v>1101.3265022845544</v>
      </c>
    </row>
    <row r="115" spans="1:17" x14ac:dyDescent="0.25">
      <c r="A115" s="1">
        <v>45215</v>
      </c>
      <c r="B115">
        <v>1.18445434364291</v>
      </c>
      <c r="C115">
        <v>0.35726160046913802</v>
      </c>
      <c r="D115">
        <v>-0.493366738953815</v>
      </c>
      <c r="E115">
        <v>3.5698607198431098E-2</v>
      </c>
      <c r="F115" s="3">
        <v>0.10376274205477901</v>
      </c>
      <c r="G115">
        <f t="shared" si="11"/>
        <v>0.91005813949505099</v>
      </c>
      <c r="H115" t="str">
        <f>IF(F115&gt;$T$2,"buy",IF(F115&lt;0,"sell","keep"))</f>
        <v>keep</v>
      </c>
      <c r="I115" t="str">
        <f t="shared" si="13"/>
        <v>sell</v>
      </c>
      <c r="J115">
        <f t="shared" si="12"/>
        <v>1</v>
      </c>
      <c r="K115" t="str">
        <f t="shared" si="14"/>
        <v>keep</v>
      </c>
      <c r="L115">
        <f t="shared" si="9"/>
        <v>0</v>
      </c>
      <c r="M115">
        <f t="shared" si="10"/>
        <v>0</v>
      </c>
      <c r="N115">
        <f t="shared" si="15"/>
        <v>0</v>
      </c>
      <c r="O115">
        <f t="shared" si="16"/>
        <v>1015.8843557765182</v>
      </c>
      <c r="P115">
        <f t="shared" si="17"/>
        <v>0</v>
      </c>
      <c r="Q115">
        <f>Q114+(Q114*E115/100)</f>
        <v>1101.7196605065772</v>
      </c>
    </row>
    <row r="116" spans="1:17" x14ac:dyDescent="0.25">
      <c r="A116" s="1">
        <v>45216</v>
      </c>
      <c r="B116">
        <v>-0.33428856611843399</v>
      </c>
      <c r="C116">
        <v>0.48782160036253602</v>
      </c>
      <c r="D116">
        <v>1.3244429670005999</v>
      </c>
      <c r="E116">
        <v>0.91005813949505099</v>
      </c>
      <c r="F116" s="3">
        <v>0.25041180869334201</v>
      </c>
      <c r="G116">
        <f t="shared" si="11"/>
        <v>-0.40671657159564401</v>
      </c>
      <c r="H116" t="str">
        <f>IF(F116&gt;$T$2,"buy",IF(F116&lt;0,"sell","keep"))</f>
        <v>buy</v>
      </c>
      <c r="I116" t="str">
        <f t="shared" si="13"/>
        <v>buy</v>
      </c>
      <c r="J116">
        <f t="shared" si="12"/>
        <v>0</v>
      </c>
      <c r="K116" t="str">
        <f t="shared" si="14"/>
        <v>buy</v>
      </c>
      <c r="L116">
        <f t="shared" si="9"/>
        <v>1</v>
      </c>
      <c r="M116">
        <f t="shared" si="10"/>
        <v>0</v>
      </c>
      <c r="N116">
        <f t="shared" si="15"/>
        <v>0</v>
      </c>
      <c r="O116">
        <f t="shared" si="16"/>
        <v>0</v>
      </c>
      <c r="P116">
        <f t="shared" si="17"/>
        <v>1015.8843557765182</v>
      </c>
      <c r="Q116">
        <f>Q115+(Q115*E116/100)</f>
        <v>1111.7459499514346</v>
      </c>
    </row>
    <row r="117" spans="1:17" x14ac:dyDescent="0.25">
      <c r="A117" s="1">
        <v>45217</v>
      </c>
      <c r="B117">
        <v>-1.4068897143792201</v>
      </c>
      <c r="C117">
        <v>-2.5427286055381901</v>
      </c>
      <c r="D117">
        <v>6.70317797003772E-2</v>
      </c>
      <c r="E117">
        <v>-0.40671657159564401</v>
      </c>
      <c r="F117" s="3">
        <v>-0.22678647871567501</v>
      </c>
      <c r="G117">
        <f t="shared" si="11"/>
        <v>-1.0120742375112599</v>
      </c>
      <c r="H117" t="str">
        <f>IF(F117&gt;$T$2,"buy",IF(F117&lt;0,"sell","keep"))</f>
        <v>sell</v>
      </c>
      <c r="I117" t="str">
        <f t="shared" si="13"/>
        <v>sell</v>
      </c>
      <c r="J117">
        <f t="shared" si="12"/>
        <v>1</v>
      </c>
      <c r="K117" t="str">
        <f t="shared" si="14"/>
        <v>sell</v>
      </c>
      <c r="L117">
        <f t="shared" si="9"/>
        <v>0</v>
      </c>
      <c r="M117">
        <f t="shared" si="10"/>
        <v>1</v>
      </c>
      <c r="N117">
        <f t="shared" si="15"/>
        <v>1</v>
      </c>
      <c r="O117">
        <f t="shared" si="16"/>
        <v>1011.7525857533275</v>
      </c>
      <c r="P117">
        <f t="shared" si="17"/>
        <v>0</v>
      </c>
      <c r="Q117">
        <f>Q116+(Q116*E117/100)</f>
        <v>1107.2242949389386</v>
      </c>
    </row>
    <row r="118" spans="1:17" x14ac:dyDescent="0.25">
      <c r="A118" s="1">
        <v>45218</v>
      </c>
      <c r="B118">
        <v>-0.84598353503308998</v>
      </c>
      <c r="C118">
        <v>-0.33924668009966902</v>
      </c>
      <c r="D118">
        <v>-2.5187397447070401</v>
      </c>
      <c r="E118">
        <v>-1.0120742375112599</v>
      </c>
      <c r="F118" s="3">
        <v>-0.19853364908261001</v>
      </c>
      <c r="G118">
        <f t="shared" si="11"/>
        <v>-2.5650188145555899</v>
      </c>
      <c r="H118" t="str">
        <f>IF(F118&gt;$T$2,"buy",IF(F118&lt;0,"sell","keep"))</f>
        <v>sell</v>
      </c>
      <c r="I118" t="str">
        <f t="shared" si="13"/>
        <v>sell</v>
      </c>
      <c r="J118">
        <f t="shared" si="12"/>
        <v>1</v>
      </c>
      <c r="K118" t="str">
        <f t="shared" si="14"/>
        <v>keep</v>
      </c>
      <c r="L118">
        <f t="shared" si="9"/>
        <v>0</v>
      </c>
      <c r="M118">
        <f t="shared" si="10"/>
        <v>0</v>
      </c>
      <c r="N118">
        <f t="shared" si="15"/>
        <v>0</v>
      </c>
      <c r="O118">
        <f t="shared" si="16"/>
        <v>1011.7525857533275</v>
      </c>
      <c r="P118">
        <f t="shared" si="17"/>
        <v>0</v>
      </c>
      <c r="Q118">
        <f>Q117+(Q117*E118/100)</f>
        <v>1096.0183630983959</v>
      </c>
    </row>
    <row r="119" spans="1:17" x14ac:dyDescent="0.25">
      <c r="A119" s="1">
        <v>45219</v>
      </c>
      <c r="B119">
        <v>-1.50340287721071</v>
      </c>
      <c r="C119">
        <v>-1.02123837826263</v>
      </c>
      <c r="D119">
        <v>0.48790698934955101</v>
      </c>
      <c r="E119">
        <v>-2.5650188145555899</v>
      </c>
      <c r="F119" s="3">
        <v>-9.4038673161155301E-2</v>
      </c>
      <c r="G119">
        <f t="shared" si="11"/>
        <v>0.31295813644034398</v>
      </c>
      <c r="H119" t="str">
        <f>IF(F119&gt;$T$2,"buy",IF(F119&lt;0,"sell","keep"))</f>
        <v>sell</v>
      </c>
      <c r="I119" t="str">
        <f t="shared" si="13"/>
        <v>sell</v>
      </c>
      <c r="J119">
        <f t="shared" si="12"/>
        <v>0</v>
      </c>
      <c r="K119" t="str">
        <f t="shared" si="14"/>
        <v>keep</v>
      </c>
      <c r="L119">
        <f t="shared" si="9"/>
        <v>0</v>
      </c>
      <c r="M119">
        <f t="shared" si="10"/>
        <v>0</v>
      </c>
      <c r="N119">
        <f t="shared" si="15"/>
        <v>0</v>
      </c>
      <c r="O119">
        <f t="shared" si="16"/>
        <v>1011.7525857533275</v>
      </c>
      <c r="P119">
        <f t="shared" si="17"/>
        <v>0</v>
      </c>
      <c r="Q119">
        <f>Q118+(Q118*E119/100)</f>
        <v>1067.9052858739378</v>
      </c>
    </row>
    <row r="120" spans="1:17" x14ac:dyDescent="0.25">
      <c r="A120" s="1">
        <v>45222</v>
      </c>
      <c r="B120">
        <v>0.30197163163472301</v>
      </c>
      <c r="C120">
        <v>-0.25384450350578402</v>
      </c>
      <c r="D120">
        <v>-1.0257832681615999</v>
      </c>
      <c r="E120">
        <v>0.31295813644034398</v>
      </c>
      <c r="F120" s="3">
        <v>-7.0657688531156407E-2</v>
      </c>
      <c r="G120">
        <f t="shared" si="11"/>
        <v>0.330332251066911</v>
      </c>
      <c r="H120" t="str">
        <f>IF(F120&gt;$T$2,"buy",IF(F120&lt;0,"sell","keep"))</f>
        <v>sell</v>
      </c>
      <c r="I120" t="str">
        <f t="shared" si="13"/>
        <v>sell</v>
      </c>
      <c r="J120">
        <f t="shared" si="12"/>
        <v>0</v>
      </c>
      <c r="K120" t="str">
        <f t="shared" si="14"/>
        <v>keep</v>
      </c>
      <c r="L120">
        <f t="shared" si="9"/>
        <v>0</v>
      </c>
      <c r="M120">
        <f t="shared" si="10"/>
        <v>0</v>
      </c>
      <c r="N120">
        <f t="shared" si="15"/>
        <v>0</v>
      </c>
      <c r="O120">
        <f t="shared" si="16"/>
        <v>1011.7525857533275</v>
      </c>
      <c r="P120">
        <f t="shared" si="17"/>
        <v>0</v>
      </c>
      <c r="Q120">
        <f>Q119+(Q119*E120/100)</f>
        <v>1071.2473823555567</v>
      </c>
    </row>
    <row r="121" spans="1:17" x14ac:dyDescent="0.25">
      <c r="A121" s="1">
        <v>45223</v>
      </c>
      <c r="B121">
        <v>0.96550629386134001</v>
      </c>
      <c r="C121">
        <v>0.50079161459128896</v>
      </c>
      <c r="D121">
        <v>1.0916774657403401</v>
      </c>
      <c r="E121">
        <v>0.330332251066911</v>
      </c>
      <c r="F121" s="3">
        <v>0.293334246272624</v>
      </c>
      <c r="G121">
        <f t="shared" si="11"/>
        <v>0.93287154550614204</v>
      </c>
      <c r="H121" t="str">
        <f>IF(F121&gt;$T$2,"buy",IF(F121&lt;0,"sell","keep"))</f>
        <v>buy</v>
      </c>
      <c r="I121" t="str">
        <f t="shared" si="13"/>
        <v>buy</v>
      </c>
      <c r="J121">
        <f t="shared" si="12"/>
        <v>1</v>
      </c>
      <c r="K121" t="str">
        <f t="shared" si="14"/>
        <v>buy</v>
      </c>
      <c r="L121">
        <f t="shared" si="9"/>
        <v>1</v>
      </c>
      <c r="M121">
        <f t="shared" si="10"/>
        <v>0</v>
      </c>
      <c r="N121">
        <f t="shared" si="15"/>
        <v>1</v>
      </c>
      <c r="O121">
        <f t="shared" si="16"/>
        <v>0</v>
      </c>
      <c r="P121">
        <f t="shared" si="17"/>
        <v>1011.7525857533275</v>
      </c>
      <c r="Q121">
        <f>Q120+(Q120*E121/100)</f>
        <v>1074.7860579481871</v>
      </c>
    </row>
    <row r="122" spans="1:17" x14ac:dyDescent="0.25">
      <c r="A122" s="1">
        <v>45224</v>
      </c>
      <c r="B122">
        <v>-2.4699861143497501</v>
      </c>
      <c r="C122">
        <v>-0.78419851199457102</v>
      </c>
      <c r="D122">
        <v>-0.71765124772699096</v>
      </c>
      <c r="E122">
        <v>0.93287154550614204</v>
      </c>
      <c r="F122" s="3">
        <v>-0.25254111301568499</v>
      </c>
      <c r="G122">
        <f t="shared" si="11"/>
        <v>-0.25370978470307098</v>
      </c>
      <c r="H122" t="str">
        <f>IF(F122&gt;$T$2,"buy",IF(F122&lt;0,"sell","keep"))</f>
        <v>sell</v>
      </c>
      <c r="I122" t="str">
        <f t="shared" si="13"/>
        <v>sell</v>
      </c>
      <c r="J122">
        <f t="shared" si="12"/>
        <v>1</v>
      </c>
      <c r="K122" t="str">
        <f t="shared" si="14"/>
        <v>sell</v>
      </c>
      <c r="L122">
        <f t="shared" si="9"/>
        <v>0</v>
      </c>
      <c r="M122">
        <f t="shared" si="10"/>
        <v>1</v>
      </c>
      <c r="N122">
        <f t="shared" si="15"/>
        <v>1</v>
      </c>
      <c r="O122">
        <f t="shared" si="16"/>
        <v>1021.1909377367429</v>
      </c>
      <c r="P122">
        <f t="shared" si="17"/>
        <v>0</v>
      </c>
      <c r="Q122">
        <f>Q121+(Q121*E122/100)</f>
        <v>1084.8124312578529</v>
      </c>
    </row>
    <row r="123" spans="1:17" x14ac:dyDescent="0.25">
      <c r="A123" s="1">
        <v>45225</v>
      </c>
      <c r="B123">
        <v>-1.8917824572739801</v>
      </c>
      <c r="C123">
        <v>1.6301750698644699</v>
      </c>
      <c r="D123">
        <v>-4.1293060084979197E-2</v>
      </c>
      <c r="E123">
        <v>-0.25370978470307098</v>
      </c>
      <c r="F123" s="3">
        <v>0.12401366160756901</v>
      </c>
      <c r="G123">
        <f t="shared" si="11"/>
        <v>-0.236195744151834</v>
      </c>
      <c r="H123" t="str">
        <f>IF(F123&gt;$T$2,"buy",IF(F123&lt;0,"sell","keep"))</f>
        <v>keep</v>
      </c>
      <c r="I123" t="str">
        <f t="shared" si="13"/>
        <v>sell</v>
      </c>
      <c r="J123">
        <f t="shared" si="12"/>
        <v>0</v>
      </c>
      <c r="K123" t="str">
        <f t="shared" si="14"/>
        <v>keep</v>
      </c>
      <c r="L123">
        <f t="shared" si="9"/>
        <v>0</v>
      </c>
      <c r="M123">
        <f t="shared" si="10"/>
        <v>0</v>
      </c>
      <c r="N123">
        <f t="shared" si="15"/>
        <v>0</v>
      </c>
      <c r="O123">
        <f t="shared" si="16"/>
        <v>1021.1909377367429</v>
      </c>
      <c r="P123">
        <f t="shared" si="17"/>
        <v>0</v>
      </c>
      <c r="Q123">
        <f>Q122+(Q122*E123/100)</f>
        <v>1082.0601559740765</v>
      </c>
    </row>
    <row r="124" spans="1:17" x14ac:dyDescent="0.25">
      <c r="A124" s="1">
        <v>45226</v>
      </c>
      <c r="B124">
        <v>0.50213867471380302</v>
      </c>
      <c r="C124">
        <v>5.6704585897526798E-2</v>
      </c>
      <c r="D124">
        <v>-4.3181972378020603</v>
      </c>
      <c r="E124">
        <v>-0.236195744151834</v>
      </c>
      <c r="F124" s="3">
        <v>-0.41018475684408301</v>
      </c>
      <c r="G124">
        <f t="shared" si="11"/>
        <v>1.40229626275223</v>
      </c>
      <c r="H124" t="str">
        <f>IF(F124&gt;$T$2,"buy",IF(F124&lt;0,"sell","keep"))</f>
        <v>sell</v>
      </c>
      <c r="I124" t="str">
        <f t="shared" si="13"/>
        <v>sell</v>
      </c>
      <c r="J124">
        <f t="shared" si="12"/>
        <v>0</v>
      </c>
      <c r="K124" t="str">
        <f t="shared" si="14"/>
        <v>keep</v>
      </c>
      <c r="L124">
        <f t="shared" si="9"/>
        <v>0</v>
      </c>
      <c r="M124">
        <f t="shared" si="10"/>
        <v>0</v>
      </c>
      <c r="N124">
        <f t="shared" si="15"/>
        <v>0</v>
      </c>
      <c r="O124">
        <f t="shared" si="16"/>
        <v>1021.1909377367429</v>
      </c>
      <c r="P124">
        <f t="shared" si="17"/>
        <v>0</v>
      </c>
      <c r="Q124">
        <f>Q123+(Q123*E124/100)</f>
        <v>1079.504375936503</v>
      </c>
    </row>
    <row r="125" spans="1:17" x14ac:dyDescent="0.25">
      <c r="A125" s="1">
        <v>45229</v>
      </c>
      <c r="B125">
        <v>1.09369006421844</v>
      </c>
      <c r="C125">
        <v>2.2508293653295799</v>
      </c>
      <c r="D125">
        <v>2.1305743476378098</v>
      </c>
      <c r="E125">
        <v>1.40229626275223</v>
      </c>
      <c r="F125" s="3">
        <v>0.57094723651441803</v>
      </c>
      <c r="G125">
        <f t="shared" si="11"/>
        <v>0.41307149563047901</v>
      </c>
      <c r="H125" t="str">
        <f>IF(F125&gt;$T$2,"buy",IF(F125&lt;0,"sell","keep"))</f>
        <v>buy</v>
      </c>
      <c r="I125" t="str">
        <f t="shared" si="13"/>
        <v>buy</v>
      </c>
      <c r="J125">
        <f t="shared" si="12"/>
        <v>1</v>
      </c>
      <c r="K125" t="str">
        <f t="shared" si="14"/>
        <v>buy</v>
      </c>
      <c r="L125">
        <f t="shared" si="9"/>
        <v>1</v>
      </c>
      <c r="M125">
        <f t="shared" si="10"/>
        <v>0</v>
      </c>
      <c r="N125">
        <f t="shared" si="15"/>
        <v>1</v>
      </c>
      <c r="O125">
        <f t="shared" si="16"/>
        <v>0</v>
      </c>
      <c r="P125">
        <f t="shared" si="17"/>
        <v>1021.1909377367429</v>
      </c>
      <c r="Q125">
        <f>Q124+(Q124*E125/100)</f>
        <v>1094.6422254565075</v>
      </c>
    </row>
    <row r="126" spans="1:17" x14ac:dyDescent="0.25">
      <c r="A126" s="1">
        <v>45230</v>
      </c>
      <c r="B126">
        <v>0.51808766501344405</v>
      </c>
      <c r="C126">
        <v>0.86837362519320804</v>
      </c>
      <c r="D126">
        <v>-0.50038924461425205</v>
      </c>
      <c r="E126">
        <v>0.41307149563047901</v>
      </c>
      <c r="F126" s="3">
        <v>0.15743069770634499</v>
      </c>
      <c r="G126">
        <f t="shared" si="11"/>
        <v>1.1804710653088</v>
      </c>
      <c r="H126" t="str">
        <f>IF(F126&gt;$T$2,"buy",IF(F126&lt;0,"sell","keep"))</f>
        <v>buy</v>
      </c>
      <c r="I126" t="str">
        <f t="shared" si="13"/>
        <v>buy</v>
      </c>
      <c r="J126">
        <f t="shared" si="12"/>
        <v>1</v>
      </c>
      <c r="K126" t="str">
        <f t="shared" si="14"/>
        <v>keep</v>
      </c>
      <c r="L126">
        <f t="shared" si="9"/>
        <v>0</v>
      </c>
      <c r="M126">
        <f t="shared" si="10"/>
        <v>0</v>
      </c>
      <c r="N126">
        <f t="shared" si="15"/>
        <v>0</v>
      </c>
      <c r="O126">
        <f t="shared" si="16"/>
        <v>0</v>
      </c>
      <c r="P126">
        <f t="shared" si="17"/>
        <v>1035.5110600921896</v>
      </c>
      <c r="Q126">
        <f>Q125+(Q125*E126/100)</f>
        <v>1099.1638804690035</v>
      </c>
    </row>
    <row r="127" spans="1:17" x14ac:dyDescent="0.25">
      <c r="A127" s="1">
        <v>45231</v>
      </c>
      <c r="B127">
        <v>1.7705327768446</v>
      </c>
      <c r="C127">
        <v>1.29265735159271</v>
      </c>
      <c r="D127">
        <v>0.913732270694112</v>
      </c>
      <c r="E127">
        <v>1.1804710653088</v>
      </c>
      <c r="F127" s="3">
        <v>0.41434493431754299</v>
      </c>
      <c r="G127">
        <f t="shared" si="11"/>
        <v>0.83082882672962299</v>
      </c>
      <c r="H127" t="str">
        <f>IF(F127&gt;$T$2,"buy",IF(F127&lt;0,"sell","keep"))</f>
        <v>buy</v>
      </c>
      <c r="I127" t="str">
        <f t="shared" si="13"/>
        <v>buy</v>
      </c>
      <c r="J127">
        <f t="shared" si="12"/>
        <v>1</v>
      </c>
      <c r="K127" t="str">
        <f t="shared" si="14"/>
        <v>keep</v>
      </c>
      <c r="L127">
        <f t="shared" si="9"/>
        <v>0</v>
      </c>
      <c r="M127">
        <f t="shared" si="10"/>
        <v>0</v>
      </c>
      <c r="N127">
        <f t="shared" si="15"/>
        <v>0</v>
      </c>
      <c r="O127">
        <f t="shared" si="16"/>
        <v>0</v>
      </c>
      <c r="P127">
        <f t="shared" si="17"/>
        <v>1039.7884611155314</v>
      </c>
      <c r="Q127">
        <f>Q126+(Q126*E127/100)</f>
        <v>1112.1391920382655</v>
      </c>
    </row>
    <row r="128" spans="1:17" x14ac:dyDescent="0.25">
      <c r="A128" s="1">
        <v>45232</v>
      </c>
      <c r="B128">
        <v>1.73638737451777</v>
      </c>
      <c r="C128">
        <v>0.66132610803071301</v>
      </c>
      <c r="D128">
        <v>0.55450317384297898</v>
      </c>
      <c r="E128">
        <v>0.83082882672962299</v>
      </c>
      <c r="F128" s="3">
        <v>0.32317249986358898</v>
      </c>
      <c r="G128">
        <f t="shared" si="11"/>
        <v>-1.2272056091596899</v>
      </c>
      <c r="H128" t="str">
        <f>IF(F128&gt;$T$2,"buy",IF(F128&lt;0,"sell","keep"))</f>
        <v>buy</v>
      </c>
      <c r="I128" t="str">
        <f t="shared" si="13"/>
        <v>buy</v>
      </c>
      <c r="J128">
        <f t="shared" si="12"/>
        <v>0</v>
      </c>
      <c r="K128" t="str">
        <f t="shared" si="14"/>
        <v>keep</v>
      </c>
      <c r="L128">
        <f t="shared" ref="L128:L191" si="18">IF(K128="buy",1,0)</f>
        <v>0</v>
      </c>
      <c r="M128">
        <f t="shared" ref="M128:M191" si="19">IF(K128="sell",1,0)</f>
        <v>0</v>
      </c>
      <c r="N128">
        <f t="shared" si="15"/>
        <v>0</v>
      </c>
      <c r="O128">
        <f t="shared" si="16"/>
        <v>0</v>
      </c>
      <c r="P128">
        <f t="shared" si="17"/>
        <v>1052.0628630394199</v>
      </c>
      <c r="Q128">
        <f>Q127+(Q127*E128/100)</f>
        <v>1121.3791650390774</v>
      </c>
    </row>
    <row r="129" spans="1:17" x14ac:dyDescent="0.25">
      <c r="A129" s="1">
        <v>45233</v>
      </c>
      <c r="B129">
        <v>1.20607144346249</v>
      </c>
      <c r="C129">
        <v>0.73141373560148204</v>
      </c>
      <c r="D129">
        <v>-1.2843753491527601</v>
      </c>
      <c r="E129">
        <v>-1.2272056091596899</v>
      </c>
      <c r="F129" s="3">
        <v>0.121526462726918</v>
      </c>
      <c r="G129">
        <f t="shared" si="11"/>
        <v>-1.2069647878627101</v>
      </c>
      <c r="H129" t="str">
        <f>IF(F129&gt;$T$2,"buy",IF(F129&lt;0,"sell","keep"))</f>
        <v>keep</v>
      </c>
      <c r="I129" t="str">
        <f t="shared" si="13"/>
        <v>sell</v>
      </c>
      <c r="J129">
        <f t="shared" si="12"/>
        <v>0</v>
      </c>
      <c r="K129" t="str">
        <f t="shared" si="14"/>
        <v>sell</v>
      </c>
      <c r="L129">
        <f t="shared" si="18"/>
        <v>0</v>
      </c>
      <c r="M129">
        <f t="shared" si="19"/>
        <v>1</v>
      </c>
      <c r="N129">
        <f t="shared" si="15"/>
        <v>0</v>
      </c>
      <c r="O129">
        <f t="shared" si="16"/>
        <v>1039.1518885723142</v>
      </c>
      <c r="P129">
        <f t="shared" si="17"/>
        <v>0</v>
      </c>
      <c r="Q129">
        <f>Q128+(Q128*E129/100)</f>
        <v>1107.6175370257697</v>
      </c>
    </row>
    <row r="130" spans="1:17" x14ac:dyDescent="0.25">
      <c r="A130" s="1">
        <v>45236</v>
      </c>
      <c r="B130">
        <v>0.367161091298218</v>
      </c>
      <c r="C130">
        <v>0.124814690067398</v>
      </c>
      <c r="D130">
        <v>-0.15556186162695099</v>
      </c>
      <c r="E130">
        <v>-1.2069647878627101</v>
      </c>
      <c r="F130" s="3">
        <v>8.1676723132006093E-2</v>
      </c>
      <c r="G130">
        <f t="shared" ref="G130:G193" si="20">E131</f>
        <v>-1.4552598362954301</v>
      </c>
      <c r="H130" t="str">
        <f>IF(F130&gt;$T$2,"buy",IF(F130&lt;0,"sell","keep"))</f>
        <v>keep</v>
      </c>
      <c r="I130" t="str">
        <f t="shared" si="13"/>
        <v>sell</v>
      </c>
      <c r="J130">
        <f t="shared" ref="J130:J193" si="21">IF(OR(AND(F130&lt;0,G130&lt;0),AND(F130&gt;0,G130&gt;0)),1,0)</f>
        <v>0</v>
      </c>
      <c r="K130" t="str">
        <f t="shared" si="14"/>
        <v>keep</v>
      </c>
      <c r="L130">
        <f t="shared" si="18"/>
        <v>0</v>
      </c>
      <c r="M130">
        <f t="shared" si="19"/>
        <v>0</v>
      </c>
      <c r="N130">
        <f t="shared" si="15"/>
        <v>0</v>
      </c>
      <c r="O130">
        <f t="shared" si="16"/>
        <v>1039.1518885723142</v>
      </c>
      <c r="P130">
        <f t="shared" si="17"/>
        <v>0</v>
      </c>
      <c r="Q130">
        <f>Q129+(Q129*E130/100)</f>
        <v>1094.2489833696764</v>
      </c>
    </row>
    <row r="131" spans="1:17" x14ac:dyDescent="0.25">
      <c r="A131" s="1">
        <v>45237</v>
      </c>
      <c r="B131">
        <v>0.93098316296624795</v>
      </c>
      <c r="C131">
        <v>-0.94146743597707205</v>
      </c>
      <c r="D131">
        <v>0.67988470580206894</v>
      </c>
      <c r="E131">
        <v>-1.4552598362954301</v>
      </c>
      <c r="F131" s="3">
        <v>3.9026358328928701E-2</v>
      </c>
      <c r="G131">
        <f t="shared" si="20"/>
        <v>1.05742822269339</v>
      </c>
      <c r="H131" t="str">
        <f>IF(F131&gt;$T$2,"buy",IF(F131&lt;0,"sell","keep"))</f>
        <v>keep</v>
      </c>
      <c r="I131" t="str">
        <f t="shared" ref="I131:I194" si="22">IF(F131&gt;$T$2,"buy",IF(F131&lt;$T$3,"sell","keep"))</f>
        <v>sell</v>
      </c>
      <c r="J131">
        <f t="shared" si="21"/>
        <v>1</v>
      </c>
      <c r="K131" t="str">
        <f t="shared" ref="K131:K194" si="23">IF(AND(I131="sell",P130&lt;&gt;0),"sell",IF(AND(I131="buy",O130&lt;&gt;0),"buy","keep"))</f>
        <v>keep</v>
      </c>
      <c r="L131">
        <f t="shared" si="18"/>
        <v>0</v>
      </c>
      <c r="M131">
        <f t="shared" si="19"/>
        <v>0</v>
      </c>
      <c r="N131">
        <f t="shared" ref="N131:N194" si="24">IF(AND(J131=1,OR(L131=1,M131=1)),1,0)</f>
        <v>0</v>
      </c>
      <c r="O131">
        <f t="shared" si="16"/>
        <v>1039.1518885723142</v>
      </c>
      <c r="P131">
        <f t="shared" si="17"/>
        <v>0</v>
      </c>
      <c r="Q131">
        <f>Q130+(Q130*E131/100)</f>
        <v>1078.3248174056264</v>
      </c>
    </row>
    <row r="132" spans="1:17" x14ac:dyDescent="0.25">
      <c r="A132" s="1">
        <v>45238</v>
      </c>
      <c r="B132">
        <v>0.112582904917313</v>
      </c>
      <c r="C132">
        <v>0.76035481503871005</v>
      </c>
      <c r="D132">
        <v>-9.1456028965064495E-2</v>
      </c>
      <c r="E132">
        <v>1.05742822269339</v>
      </c>
      <c r="F132" s="3">
        <v>0.13451987561713799</v>
      </c>
      <c r="G132">
        <f t="shared" si="20"/>
        <v>-0.126282750379658</v>
      </c>
      <c r="H132" t="str">
        <f>IF(F132&gt;$T$2,"buy",IF(F132&lt;0,"sell","keep"))</f>
        <v>keep</v>
      </c>
      <c r="I132" t="str">
        <f t="shared" si="22"/>
        <v>sell</v>
      </c>
      <c r="J132">
        <f t="shared" si="21"/>
        <v>0</v>
      </c>
      <c r="K132" t="str">
        <f t="shared" si="23"/>
        <v>keep</v>
      </c>
      <c r="L132">
        <f t="shared" si="18"/>
        <v>0</v>
      </c>
      <c r="M132">
        <f t="shared" si="19"/>
        <v>0</v>
      </c>
      <c r="N132">
        <f t="shared" si="24"/>
        <v>0</v>
      </c>
      <c r="O132">
        <f t="shared" ref="O132:O195" si="25">IF(K132="sell",P131+(P131*E132/100),IF(K132="buy",0,O131))</f>
        <v>1039.1518885723142</v>
      </c>
      <c r="P132">
        <f t="shared" ref="P132:P195" si="26">IF(K132="buy",O131,IF(K132="sell",0,IF(AND(K132="keep",P131&lt;&gt;0),P131+(P131*E131/100),P131)))</f>
        <v>0</v>
      </c>
      <c r="Q132">
        <f>Q131+(Q131*E132/100)</f>
        <v>1089.7273283571803</v>
      </c>
    </row>
    <row r="133" spans="1:17" x14ac:dyDescent="0.25">
      <c r="A133" s="1">
        <v>45239</v>
      </c>
      <c r="B133">
        <v>-0.81850635026700003</v>
      </c>
      <c r="C133">
        <v>-0.326321318343891</v>
      </c>
      <c r="D133">
        <v>-2.8092501734015398</v>
      </c>
      <c r="E133">
        <v>-0.126282750379658</v>
      </c>
      <c r="F133" s="3">
        <v>-0.26975330106050899</v>
      </c>
      <c r="G133">
        <f t="shared" si="20"/>
        <v>0.162566630973981</v>
      </c>
      <c r="H133" t="str">
        <f>IF(F133&gt;$T$2,"buy",IF(F133&lt;0,"sell","keep"))</f>
        <v>sell</v>
      </c>
      <c r="I133" t="str">
        <f t="shared" si="22"/>
        <v>sell</v>
      </c>
      <c r="J133">
        <f t="shared" si="21"/>
        <v>0</v>
      </c>
      <c r="K133" t="str">
        <f t="shared" si="23"/>
        <v>keep</v>
      </c>
      <c r="L133">
        <f t="shared" si="18"/>
        <v>0</v>
      </c>
      <c r="M133">
        <f t="shared" si="19"/>
        <v>0</v>
      </c>
      <c r="N133">
        <f t="shared" si="24"/>
        <v>0</v>
      </c>
      <c r="O133">
        <f t="shared" si="25"/>
        <v>1039.1518885723142</v>
      </c>
      <c r="P133">
        <f t="shared" si="26"/>
        <v>0</v>
      </c>
      <c r="Q133">
        <f>Q132+(Q132*E133/100)</f>
        <v>1088.3511907152922</v>
      </c>
    </row>
    <row r="134" spans="1:17" x14ac:dyDescent="0.25">
      <c r="A134" s="1">
        <v>45240</v>
      </c>
      <c r="B134">
        <v>2.24665502002583</v>
      </c>
      <c r="C134">
        <v>2.2660983516707298</v>
      </c>
      <c r="D134">
        <v>0.398409279660216</v>
      </c>
      <c r="E134">
        <v>0.162566630973981</v>
      </c>
      <c r="F134" s="3">
        <v>0.43472558834639702</v>
      </c>
      <c r="G134">
        <f t="shared" si="20"/>
        <v>1.1722311997227299</v>
      </c>
      <c r="H134" t="str">
        <f>IF(F134&gt;$T$2,"buy",IF(F134&lt;0,"sell","keep"))</f>
        <v>buy</v>
      </c>
      <c r="I134" t="str">
        <f t="shared" si="22"/>
        <v>buy</v>
      </c>
      <c r="J134">
        <f t="shared" si="21"/>
        <v>1</v>
      </c>
      <c r="K134" t="str">
        <f t="shared" si="23"/>
        <v>buy</v>
      </c>
      <c r="L134">
        <f t="shared" si="18"/>
        <v>1</v>
      </c>
      <c r="M134">
        <f t="shared" si="19"/>
        <v>0</v>
      </c>
      <c r="N134">
        <f t="shared" si="24"/>
        <v>1</v>
      </c>
      <c r="O134">
        <f t="shared" si="25"/>
        <v>0</v>
      </c>
      <c r="P134">
        <f t="shared" si="26"/>
        <v>1039.1518885723142</v>
      </c>
      <c r="Q134">
        <f>Q133+(Q133*E134/100)</f>
        <v>1090.1204865792033</v>
      </c>
    </row>
    <row r="135" spans="1:17" x14ac:dyDescent="0.25">
      <c r="A135" s="1">
        <v>45243</v>
      </c>
      <c r="B135">
        <v>-0.29834322727482199</v>
      </c>
      <c r="C135">
        <v>-2.2516738332256599E-2</v>
      </c>
      <c r="D135">
        <v>3.6088828287073001E-2</v>
      </c>
      <c r="E135">
        <v>1.1722311997227299</v>
      </c>
      <c r="F135" s="3">
        <v>4.9545314664937501E-2</v>
      </c>
      <c r="G135">
        <f t="shared" si="20"/>
        <v>0.23172526815238201</v>
      </c>
      <c r="H135" t="str">
        <f>IF(F135&gt;$T$2,"buy",IF(F135&lt;0,"sell","keep"))</f>
        <v>keep</v>
      </c>
      <c r="I135" t="str">
        <f t="shared" si="22"/>
        <v>sell</v>
      </c>
      <c r="J135">
        <f t="shared" si="21"/>
        <v>1</v>
      </c>
      <c r="K135" t="str">
        <f t="shared" si="23"/>
        <v>sell</v>
      </c>
      <c r="L135">
        <f t="shared" si="18"/>
        <v>0</v>
      </c>
      <c r="M135">
        <f t="shared" si="19"/>
        <v>1</v>
      </c>
      <c r="N135">
        <f t="shared" si="24"/>
        <v>1</v>
      </c>
      <c r="O135">
        <f t="shared" si="25"/>
        <v>1051.3331512226669</v>
      </c>
      <c r="P135">
        <f t="shared" si="26"/>
        <v>0</v>
      </c>
      <c r="Q135">
        <f>Q134+(Q134*E135/100)</f>
        <v>1102.899219037454</v>
      </c>
    </row>
    <row r="136" spans="1:17" x14ac:dyDescent="0.25">
      <c r="A136" s="1">
        <v>45244</v>
      </c>
      <c r="B136">
        <v>2.12932996358039</v>
      </c>
      <c r="C136">
        <v>1.0031278370743899</v>
      </c>
      <c r="D136">
        <v>-0.41835917080151802</v>
      </c>
      <c r="E136">
        <v>0.23172526815238201</v>
      </c>
      <c r="F136" s="3">
        <v>0.25824688439161902</v>
      </c>
      <c r="G136">
        <f t="shared" si="20"/>
        <v>-0.87141024256012201</v>
      </c>
      <c r="H136" t="str">
        <f>IF(F136&gt;$T$2,"buy",IF(F136&lt;0,"sell","keep"))</f>
        <v>buy</v>
      </c>
      <c r="I136" t="str">
        <f t="shared" si="22"/>
        <v>buy</v>
      </c>
      <c r="J136">
        <f t="shared" si="21"/>
        <v>0</v>
      </c>
      <c r="K136" t="str">
        <f t="shared" si="23"/>
        <v>buy</v>
      </c>
      <c r="L136">
        <f t="shared" si="18"/>
        <v>1</v>
      </c>
      <c r="M136">
        <f t="shared" si="19"/>
        <v>0</v>
      </c>
      <c r="N136">
        <f t="shared" si="24"/>
        <v>0</v>
      </c>
      <c r="O136">
        <f t="shared" si="25"/>
        <v>0</v>
      </c>
      <c r="P136">
        <f t="shared" si="26"/>
        <v>1051.3331512226669</v>
      </c>
      <c r="Q136">
        <f>Q135+(Q135*E136/100)</f>
        <v>1105.454915210219</v>
      </c>
    </row>
    <row r="137" spans="1:17" x14ac:dyDescent="0.25">
      <c r="A137" s="1">
        <v>45245</v>
      </c>
      <c r="B137">
        <v>2.9786371256013099E-2</v>
      </c>
      <c r="C137">
        <v>-0.25014038411582601</v>
      </c>
      <c r="D137">
        <v>-0.33317586200610699</v>
      </c>
      <c r="E137">
        <v>-0.87141024256012201</v>
      </c>
      <c r="F137" s="3">
        <v>6.7607946229267697E-3</v>
      </c>
      <c r="G137">
        <f t="shared" si="20"/>
        <v>0.37674889611072299</v>
      </c>
      <c r="H137" t="str">
        <f>IF(F137&gt;$T$2,"buy",IF(F137&lt;0,"sell","keep"))</f>
        <v>keep</v>
      </c>
      <c r="I137" t="str">
        <f t="shared" si="22"/>
        <v>sell</v>
      </c>
      <c r="J137">
        <f t="shared" si="21"/>
        <v>1</v>
      </c>
      <c r="K137" t="str">
        <f t="shared" si="23"/>
        <v>sell</v>
      </c>
      <c r="L137">
        <f t="shared" si="18"/>
        <v>0</v>
      </c>
      <c r="M137">
        <f t="shared" si="19"/>
        <v>1</v>
      </c>
      <c r="N137">
        <f t="shared" si="24"/>
        <v>1</v>
      </c>
      <c r="O137">
        <f t="shared" si="25"/>
        <v>1042.1717264594824</v>
      </c>
      <c r="P137">
        <f t="shared" si="26"/>
        <v>0</v>
      </c>
      <c r="Q137">
        <f>Q136+(Q136*E137/100)</f>
        <v>1095.8218678521928</v>
      </c>
    </row>
    <row r="138" spans="1:17" x14ac:dyDescent="0.25">
      <c r="A138" s="1">
        <v>45246</v>
      </c>
      <c r="B138">
        <v>0.10109409320067</v>
      </c>
      <c r="C138">
        <v>1.40037541076634</v>
      </c>
      <c r="D138">
        <v>0.49418214554810502</v>
      </c>
      <c r="E138">
        <v>0.37674889611072299</v>
      </c>
      <c r="F138" s="3">
        <v>0.25973413279214302</v>
      </c>
      <c r="G138">
        <f t="shared" si="20"/>
        <v>1.46558841137331</v>
      </c>
      <c r="H138" t="str">
        <f>IF(F138&gt;$T$2,"buy",IF(F138&lt;0,"sell","keep"))</f>
        <v>buy</v>
      </c>
      <c r="I138" t="str">
        <f t="shared" si="22"/>
        <v>buy</v>
      </c>
      <c r="J138">
        <f t="shared" si="21"/>
        <v>1</v>
      </c>
      <c r="K138" t="str">
        <f t="shared" si="23"/>
        <v>buy</v>
      </c>
      <c r="L138">
        <f t="shared" si="18"/>
        <v>1</v>
      </c>
      <c r="M138">
        <f t="shared" si="19"/>
        <v>0</v>
      </c>
      <c r="N138">
        <f t="shared" si="24"/>
        <v>1</v>
      </c>
      <c r="O138">
        <f t="shared" si="25"/>
        <v>0</v>
      </c>
      <c r="P138">
        <f t="shared" si="26"/>
        <v>1042.1717264594824</v>
      </c>
      <c r="Q138">
        <f>Q137+(Q137*E138/100)</f>
        <v>1099.9503646426658</v>
      </c>
    </row>
    <row r="139" spans="1:17" x14ac:dyDescent="0.25">
      <c r="A139" s="1">
        <v>45247</v>
      </c>
      <c r="B139">
        <v>3.04443931555375E-2</v>
      </c>
      <c r="C139">
        <v>-0.124890215487527</v>
      </c>
      <c r="D139">
        <v>1.44690851140882E-2</v>
      </c>
      <c r="E139">
        <v>1.46558841137331</v>
      </c>
      <c r="F139" s="3">
        <v>5.9152582787309498E-2</v>
      </c>
      <c r="G139">
        <f t="shared" si="20"/>
        <v>-0.17615747665367101</v>
      </c>
      <c r="H139" t="str">
        <f>IF(F139&gt;$T$2,"buy",IF(F139&lt;0,"sell","keep"))</f>
        <v>keep</v>
      </c>
      <c r="I139" t="str">
        <f t="shared" si="22"/>
        <v>sell</v>
      </c>
      <c r="J139">
        <f t="shared" si="21"/>
        <v>0</v>
      </c>
      <c r="K139" t="str">
        <f t="shared" si="23"/>
        <v>sell</v>
      </c>
      <c r="L139">
        <f t="shared" si="18"/>
        <v>0</v>
      </c>
      <c r="M139">
        <f t="shared" si="19"/>
        <v>1</v>
      </c>
      <c r="N139">
        <f t="shared" si="24"/>
        <v>0</v>
      </c>
      <c r="O139">
        <f t="shared" si="25"/>
        <v>1057.4456745090818</v>
      </c>
      <c r="P139">
        <f t="shared" si="26"/>
        <v>0</v>
      </c>
      <c r="Q139">
        <f>Q138+(Q138*E139/100)</f>
        <v>1116.0711097177273</v>
      </c>
    </row>
    <row r="140" spans="1:17" x14ac:dyDescent="0.25">
      <c r="A140" s="1">
        <v>45250</v>
      </c>
      <c r="B140">
        <v>1.19377100970261</v>
      </c>
      <c r="C140">
        <v>9.5613290855656105E-2</v>
      </c>
      <c r="D140">
        <v>7.2305130514259998E-3</v>
      </c>
      <c r="E140">
        <v>-0.17615747665367101</v>
      </c>
      <c r="F140" s="3">
        <v>0.12604249977961901</v>
      </c>
      <c r="G140">
        <f t="shared" si="20"/>
        <v>-0.47643365187914899</v>
      </c>
      <c r="H140" t="str">
        <f>IF(F140&gt;$T$2,"buy",IF(F140&lt;0,"sell","keep"))</f>
        <v>keep</v>
      </c>
      <c r="I140" t="str">
        <f t="shared" si="22"/>
        <v>sell</v>
      </c>
      <c r="J140">
        <f t="shared" si="21"/>
        <v>0</v>
      </c>
      <c r="K140" t="str">
        <f t="shared" si="23"/>
        <v>keep</v>
      </c>
      <c r="L140">
        <f t="shared" si="18"/>
        <v>0</v>
      </c>
      <c r="M140">
        <f t="shared" si="19"/>
        <v>0</v>
      </c>
      <c r="N140">
        <f t="shared" si="24"/>
        <v>0</v>
      </c>
      <c r="O140">
        <f t="shared" si="25"/>
        <v>1057.4456745090818</v>
      </c>
      <c r="P140">
        <f t="shared" si="26"/>
        <v>0</v>
      </c>
      <c r="Q140">
        <f>Q139+(Q139*E140/100)</f>
        <v>1114.1050670131879</v>
      </c>
    </row>
    <row r="141" spans="1:17" x14ac:dyDescent="0.25">
      <c r="A141" s="1">
        <v>45251</v>
      </c>
      <c r="B141">
        <v>-0.58301058104308601</v>
      </c>
      <c r="C141">
        <v>0.89157161581789801</v>
      </c>
      <c r="D141">
        <v>0.303659592013794</v>
      </c>
      <c r="E141">
        <v>-0.47643365187914899</v>
      </c>
      <c r="F141" s="3">
        <v>0.183902084805389</v>
      </c>
      <c r="G141">
        <f t="shared" si="20"/>
        <v>0.14183990553384701</v>
      </c>
      <c r="H141" t="str">
        <f>IF(F141&gt;$T$2,"buy",IF(F141&lt;0,"sell","keep"))</f>
        <v>buy</v>
      </c>
      <c r="I141" t="str">
        <f t="shared" si="22"/>
        <v>buy</v>
      </c>
      <c r="J141">
        <f t="shared" si="21"/>
        <v>1</v>
      </c>
      <c r="K141" t="str">
        <f t="shared" si="23"/>
        <v>buy</v>
      </c>
      <c r="L141">
        <f t="shared" si="18"/>
        <v>1</v>
      </c>
      <c r="M141">
        <f t="shared" si="19"/>
        <v>0</v>
      </c>
      <c r="N141">
        <f t="shared" si="24"/>
        <v>1</v>
      </c>
      <c r="O141">
        <f t="shared" si="25"/>
        <v>0</v>
      </c>
      <c r="P141">
        <f t="shared" si="26"/>
        <v>1057.4456745090818</v>
      </c>
      <c r="Q141">
        <f>Q140+(Q140*E141/100)</f>
        <v>1108.7970955566464</v>
      </c>
    </row>
    <row r="142" spans="1:17" x14ac:dyDescent="0.25">
      <c r="A142" s="1">
        <v>45252</v>
      </c>
      <c r="B142">
        <v>0.42532413068450098</v>
      </c>
      <c r="C142">
        <v>-7.0404206291108107E-2</v>
      </c>
      <c r="D142">
        <v>-0.187410657000675</v>
      </c>
      <c r="E142">
        <v>0.14183990553384701</v>
      </c>
      <c r="F142" s="3">
        <v>5.4804592639160703E-2</v>
      </c>
      <c r="G142">
        <f t="shared" si="20"/>
        <v>-0.333863086750885</v>
      </c>
      <c r="H142" t="str">
        <f>IF(F142&gt;$T$2,"buy",IF(F142&lt;0,"sell","keep"))</f>
        <v>keep</v>
      </c>
      <c r="I142" t="str">
        <f t="shared" si="22"/>
        <v>sell</v>
      </c>
      <c r="J142">
        <f t="shared" si="21"/>
        <v>0</v>
      </c>
      <c r="K142" t="str">
        <f t="shared" si="23"/>
        <v>sell</v>
      </c>
      <c r="L142">
        <f t="shared" si="18"/>
        <v>0</v>
      </c>
      <c r="M142">
        <f t="shared" si="19"/>
        <v>1</v>
      </c>
      <c r="N142">
        <f t="shared" si="24"/>
        <v>0</v>
      </c>
      <c r="O142">
        <f t="shared" si="25"/>
        <v>1058.9455544548771</v>
      </c>
      <c r="P142">
        <f t="shared" si="26"/>
        <v>0</v>
      </c>
      <c r="Q142">
        <f>Q141+(Q141*E142/100)</f>
        <v>1110.369812309546</v>
      </c>
    </row>
    <row r="143" spans="1:17" x14ac:dyDescent="0.25">
      <c r="A143" s="1">
        <v>45257</v>
      </c>
      <c r="B143">
        <v>-0.12532401849785199</v>
      </c>
      <c r="C143">
        <v>-0.34281793767187901</v>
      </c>
      <c r="D143">
        <v>0.30285934396223602</v>
      </c>
      <c r="E143">
        <v>-0.333863086750885</v>
      </c>
      <c r="F143" s="3">
        <v>4.2168939822691001E-2</v>
      </c>
      <c r="G143">
        <f t="shared" si="20"/>
        <v>0.42313408780123501</v>
      </c>
      <c r="H143" t="str">
        <f>IF(F143&gt;$T$2,"buy",IF(F143&lt;0,"sell","keep"))</f>
        <v>keep</v>
      </c>
      <c r="I143" t="str">
        <f t="shared" si="22"/>
        <v>sell</v>
      </c>
      <c r="J143">
        <f t="shared" si="21"/>
        <v>1</v>
      </c>
      <c r="K143" t="str">
        <f t="shared" si="23"/>
        <v>keep</v>
      </c>
      <c r="L143">
        <f t="shared" si="18"/>
        <v>0</v>
      </c>
      <c r="M143">
        <f t="shared" si="19"/>
        <v>0</v>
      </c>
      <c r="N143">
        <f t="shared" si="24"/>
        <v>0</v>
      </c>
      <c r="O143">
        <f t="shared" si="25"/>
        <v>1058.9455544548771</v>
      </c>
      <c r="P143">
        <f t="shared" si="26"/>
        <v>0</v>
      </c>
      <c r="Q143">
        <f>Q142+(Q142*E143/100)</f>
        <v>1106.6626973798193</v>
      </c>
    </row>
    <row r="144" spans="1:17" x14ac:dyDescent="0.25">
      <c r="A144" s="1">
        <v>45258</v>
      </c>
      <c r="B144">
        <v>0.30352886876947499</v>
      </c>
      <c r="C144">
        <v>-0.50143566730859102</v>
      </c>
      <c r="D144">
        <v>-0.72614592772447495</v>
      </c>
      <c r="E144">
        <v>0.42313408780123501</v>
      </c>
      <c r="F144" s="3">
        <v>-4.8620918177928997E-2</v>
      </c>
      <c r="G144">
        <f t="shared" si="20"/>
        <v>-0.14045289881257</v>
      </c>
      <c r="H144" t="str">
        <f>IF(F144&gt;$T$2,"buy",IF(F144&lt;0,"sell","keep"))</f>
        <v>sell</v>
      </c>
      <c r="I144" t="str">
        <f t="shared" si="22"/>
        <v>sell</v>
      </c>
      <c r="J144">
        <f t="shared" si="21"/>
        <v>1</v>
      </c>
      <c r="K144" t="str">
        <f t="shared" si="23"/>
        <v>keep</v>
      </c>
      <c r="L144">
        <f t="shared" si="18"/>
        <v>0</v>
      </c>
      <c r="M144">
        <f t="shared" si="19"/>
        <v>0</v>
      </c>
      <c r="N144">
        <f t="shared" si="24"/>
        <v>0</v>
      </c>
      <c r="O144">
        <f t="shared" si="25"/>
        <v>1058.9455544548771</v>
      </c>
      <c r="P144">
        <f t="shared" si="26"/>
        <v>0</v>
      </c>
      <c r="Q144">
        <f>Q143+(Q143*E144/100)</f>
        <v>1111.3453644894139</v>
      </c>
    </row>
    <row r="145" spans="1:17" x14ac:dyDescent="0.25">
      <c r="A145" s="1">
        <v>45259</v>
      </c>
      <c r="B145">
        <v>-0.14259503692661801</v>
      </c>
      <c r="C145">
        <v>0.160678445929929</v>
      </c>
      <c r="D145">
        <v>0.30416542430731203</v>
      </c>
      <c r="E145">
        <v>-0.14045289881257</v>
      </c>
      <c r="F145" s="3">
        <v>0.10696921438814599</v>
      </c>
      <c r="G145">
        <f t="shared" si="20"/>
        <v>0.54500735538687195</v>
      </c>
      <c r="H145" t="str">
        <f>IF(F145&gt;$T$2,"buy",IF(F145&lt;0,"sell","keep"))</f>
        <v>keep</v>
      </c>
      <c r="I145" t="str">
        <f t="shared" si="22"/>
        <v>sell</v>
      </c>
      <c r="J145">
        <f t="shared" si="21"/>
        <v>1</v>
      </c>
      <c r="K145" t="str">
        <f t="shared" si="23"/>
        <v>keep</v>
      </c>
      <c r="L145">
        <f t="shared" si="18"/>
        <v>0</v>
      </c>
      <c r="M145">
        <f t="shared" si="19"/>
        <v>0</v>
      </c>
      <c r="N145">
        <f t="shared" si="24"/>
        <v>0</v>
      </c>
      <c r="O145">
        <f t="shared" si="25"/>
        <v>1058.9455544548771</v>
      </c>
      <c r="P145">
        <f t="shared" si="26"/>
        <v>0</v>
      </c>
      <c r="Q145">
        <f>Q144+(Q144*E145/100)</f>
        <v>1109.7844477091694</v>
      </c>
    </row>
    <row r="146" spans="1:17" x14ac:dyDescent="0.25">
      <c r="A146" s="1">
        <v>45260</v>
      </c>
      <c r="B146">
        <v>-0.24850192122777201</v>
      </c>
      <c r="C146">
        <v>0.57851747502299899</v>
      </c>
      <c r="D146">
        <v>2.80869177639648</v>
      </c>
      <c r="E146">
        <v>0.54500735538687195</v>
      </c>
      <c r="F146" s="3">
        <v>0.37598232018646999</v>
      </c>
      <c r="G146">
        <f t="shared" si="20"/>
        <v>1.04913051083304</v>
      </c>
      <c r="H146" t="str">
        <f>IF(F146&gt;$T$2,"buy",IF(F146&lt;0,"sell","keep"))</f>
        <v>buy</v>
      </c>
      <c r="I146" t="str">
        <f t="shared" si="22"/>
        <v>buy</v>
      </c>
      <c r="J146">
        <f t="shared" si="21"/>
        <v>1</v>
      </c>
      <c r="K146" t="str">
        <f t="shared" si="23"/>
        <v>buy</v>
      </c>
      <c r="L146">
        <f t="shared" si="18"/>
        <v>1</v>
      </c>
      <c r="M146">
        <f t="shared" si="19"/>
        <v>0</v>
      </c>
      <c r="N146">
        <f t="shared" si="24"/>
        <v>1</v>
      </c>
      <c r="O146">
        <f t="shared" si="25"/>
        <v>0</v>
      </c>
      <c r="P146">
        <f t="shared" si="26"/>
        <v>1058.9455544548771</v>
      </c>
      <c r="Q146">
        <f>Q145+(Q145*E146/100)</f>
        <v>1115.8328545781239</v>
      </c>
    </row>
    <row r="147" spans="1:17" x14ac:dyDescent="0.25">
      <c r="A147" s="1">
        <v>45261</v>
      </c>
      <c r="B147">
        <v>0.31170282032788599</v>
      </c>
      <c r="C147">
        <v>-0.19271658359860599</v>
      </c>
      <c r="D147">
        <v>0.71632799506038403</v>
      </c>
      <c r="E147">
        <v>1.04913051083304</v>
      </c>
      <c r="F147" s="3">
        <v>0.12599422100076099</v>
      </c>
      <c r="G147">
        <f t="shared" si="20"/>
        <v>0.51912271022713696</v>
      </c>
      <c r="H147" t="str">
        <f>IF(F147&gt;$T$2,"buy",IF(F147&lt;0,"sell","keep"))</f>
        <v>keep</v>
      </c>
      <c r="I147" t="str">
        <f t="shared" si="22"/>
        <v>sell</v>
      </c>
      <c r="J147">
        <f t="shared" si="21"/>
        <v>1</v>
      </c>
      <c r="K147" t="str">
        <f t="shared" si="23"/>
        <v>sell</v>
      </c>
      <c r="L147">
        <f t="shared" si="18"/>
        <v>0</v>
      </c>
      <c r="M147">
        <f t="shared" si="19"/>
        <v>1</v>
      </c>
      <c r="N147">
        <f t="shared" si="24"/>
        <v>1</v>
      </c>
      <c r="O147">
        <f t="shared" si="25"/>
        <v>1070.0552753597733</v>
      </c>
      <c r="P147">
        <f t="shared" si="26"/>
        <v>0</v>
      </c>
      <c r="Q147">
        <f>Q146+(Q146*E147/100)</f>
        <v>1127.5393975054023</v>
      </c>
    </row>
    <row r="148" spans="1:17" x14ac:dyDescent="0.25">
      <c r="A148" s="1">
        <v>45264</v>
      </c>
      <c r="B148">
        <v>-0.98708776876775794</v>
      </c>
      <c r="C148">
        <v>-1.22905180013217</v>
      </c>
      <c r="D148">
        <v>0.51601574995225796</v>
      </c>
      <c r="E148">
        <v>0.51912271022713696</v>
      </c>
      <c r="F148" s="3">
        <v>-5.4957998900721103E-2</v>
      </c>
      <c r="G148">
        <f t="shared" si="20"/>
        <v>0.77466261577456796</v>
      </c>
      <c r="H148" t="str">
        <f>IF(F148&gt;$T$2,"buy",IF(F148&lt;0,"sell","keep"))</f>
        <v>sell</v>
      </c>
      <c r="I148" t="str">
        <f t="shared" si="22"/>
        <v>sell</v>
      </c>
      <c r="J148">
        <f t="shared" si="21"/>
        <v>0</v>
      </c>
      <c r="K148" t="str">
        <f t="shared" si="23"/>
        <v>keep</v>
      </c>
      <c r="L148">
        <f t="shared" si="18"/>
        <v>0</v>
      </c>
      <c r="M148">
        <f t="shared" si="19"/>
        <v>0</v>
      </c>
      <c r="N148">
        <f t="shared" si="24"/>
        <v>0</v>
      </c>
      <c r="O148">
        <f t="shared" si="25"/>
        <v>1070.0552753597733</v>
      </c>
      <c r="P148">
        <f t="shared" si="26"/>
        <v>0</v>
      </c>
      <c r="Q148">
        <f>Q147+(Q147*E148/100)</f>
        <v>1133.3927105846112</v>
      </c>
    </row>
    <row r="149" spans="1:17" x14ac:dyDescent="0.25">
      <c r="A149" s="1">
        <v>45265</v>
      </c>
      <c r="B149">
        <v>0.240156766208654</v>
      </c>
      <c r="C149">
        <v>-0.65660101195451603</v>
      </c>
      <c r="D149">
        <v>0.29134584586911699</v>
      </c>
      <c r="E149">
        <v>0.77466261577456796</v>
      </c>
      <c r="F149" s="3">
        <v>4.3318095552348203E-2</v>
      </c>
      <c r="G149">
        <f t="shared" si="20"/>
        <v>1.3495032865135499</v>
      </c>
      <c r="H149" t="str">
        <f>IF(F149&gt;$T$2,"buy",IF(F149&lt;0,"sell","keep"))</f>
        <v>keep</v>
      </c>
      <c r="I149" t="str">
        <f t="shared" si="22"/>
        <v>sell</v>
      </c>
      <c r="J149">
        <f t="shared" si="21"/>
        <v>1</v>
      </c>
      <c r="K149" t="str">
        <f t="shared" si="23"/>
        <v>keep</v>
      </c>
      <c r="L149">
        <f t="shared" si="18"/>
        <v>0</v>
      </c>
      <c r="M149">
        <f t="shared" si="19"/>
        <v>0</v>
      </c>
      <c r="N149">
        <f t="shared" si="24"/>
        <v>0</v>
      </c>
      <c r="O149">
        <f t="shared" si="25"/>
        <v>1070.0552753597733</v>
      </c>
      <c r="P149">
        <f t="shared" si="26"/>
        <v>0</v>
      </c>
      <c r="Q149">
        <f>Q148+(Q148*E149/100)</f>
        <v>1142.1726802034243</v>
      </c>
    </row>
    <row r="150" spans="1:17" x14ac:dyDescent="0.25">
      <c r="A150" s="1">
        <v>45266</v>
      </c>
      <c r="B150">
        <v>-0.56469198940264298</v>
      </c>
      <c r="C150">
        <v>-0.906011462619704</v>
      </c>
      <c r="D150">
        <v>1.2519978902233599</v>
      </c>
      <c r="E150">
        <v>1.3495032865135499</v>
      </c>
      <c r="F150" s="3">
        <v>0.106732639242895</v>
      </c>
      <c r="G150">
        <f t="shared" si="20"/>
        <v>0.77532561619524298</v>
      </c>
      <c r="H150" t="str">
        <f>IF(F150&gt;$T$2,"buy",IF(F150&lt;0,"sell","keep"))</f>
        <v>keep</v>
      </c>
      <c r="I150" t="str">
        <f t="shared" si="22"/>
        <v>sell</v>
      </c>
      <c r="J150">
        <f t="shared" si="21"/>
        <v>1</v>
      </c>
      <c r="K150" t="str">
        <f t="shared" si="23"/>
        <v>keep</v>
      </c>
      <c r="L150">
        <f t="shared" si="18"/>
        <v>0</v>
      </c>
      <c r="M150">
        <f t="shared" si="19"/>
        <v>0</v>
      </c>
      <c r="N150">
        <f t="shared" si="24"/>
        <v>0</v>
      </c>
      <c r="O150">
        <f t="shared" si="25"/>
        <v>1070.0552753597733</v>
      </c>
      <c r="P150">
        <f t="shared" si="26"/>
        <v>0</v>
      </c>
      <c r="Q150">
        <f>Q149+(Q149*E150/100)</f>
        <v>1157.5863380604294</v>
      </c>
    </row>
    <row r="151" spans="1:17" x14ac:dyDescent="0.25">
      <c r="A151" s="1">
        <v>45267</v>
      </c>
      <c r="B151">
        <v>1.48492329697296</v>
      </c>
      <c r="C151">
        <v>-0.41468293209753199</v>
      </c>
      <c r="D151">
        <v>1.08621471374754</v>
      </c>
      <c r="E151">
        <v>0.77532561619524298</v>
      </c>
      <c r="F151" s="3">
        <v>0.222399947132772</v>
      </c>
      <c r="G151">
        <f t="shared" si="20"/>
        <v>0.33450521460409699</v>
      </c>
      <c r="H151" t="str">
        <f>IF(F151&gt;$T$2,"buy",IF(F151&lt;0,"sell","keep"))</f>
        <v>buy</v>
      </c>
      <c r="I151" t="str">
        <f t="shared" si="22"/>
        <v>buy</v>
      </c>
      <c r="J151">
        <f t="shared" si="21"/>
        <v>1</v>
      </c>
      <c r="K151" t="str">
        <f t="shared" si="23"/>
        <v>buy</v>
      </c>
      <c r="L151">
        <f t="shared" si="18"/>
        <v>1</v>
      </c>
      <c r="M151">
        <f t="shared" si="19"/>
        <v>0</v>
      </c>
      <c r="N151">
        <f t="shared" si="24"/>
        <v>1</v>
      </c>
      <c r="O151">
        <f t="shared" si="25"/>
        <v>0</v>
      </c>
      <c r="P151">
        <f t="shared" si="26"/>
        <v>1070.0552753597733</v>
      </c>
      <c r="Q151">
        <f>Q150+(Q150*E151/100)</f>
        <v>1166.5614014689884</v>
      </c>
    </row>
    <row r="152" spans="1:17" x14ac:dyDescent="0.25">
      <c r="A152" s="1">
        <v>45268</v>
      </c>
      <c r="B152">
        <v>0.38820554359930698</v>
      </c>
      <c r="C152">
        <v>0.65721209983309303</v>
      </c>
      <c r="D152">
        <v>0.88529681966267304</v>
      </c>
      <c r="E152">
        <v>0.33450521460409699</v>
      </c>
      <c r="F152" s="3">
        <v>0.27135160519198898</v>
      </c>
      <c r="G152">
        <f t="shared" si="20"/>
        <v>0.21669923839540101</v>
      </c>
      <c r="H152" t="str">
        <f>IF(F152&gt;$T$2,"buy",IF(F152&lt;0,"sell","keep"))</f>
        <v>buy</v>
      </c>
      <c r="I152" t="str">
        <f t="shared" si="22"/>
        <v>buy</v>
      </c>
      <c r="J152">
        <f t="shared" si="21"/>
        <v>1</v>
      </c>
      <c r="K152" t="str">
        <f t="shared" si="23"/>
        <v>keep</v>
      </c>
      <c r="L152">
        <f t="shared" si="18"/>
        <v>0</v>
      </c>
      <c r="M152">
        <f t="shared" si="19"/>
        <v>0</v>
      </c>
      <c r="N152">
        <f t="shared" si="24"/>
        <v>0</v>
      </c>
      <c r="O152">
        <f t="shared" si="25"/>
        <v>0</v>
      </c>
      <c r="P152">
        <f t="shared" si="26"/>
        <v>1078.3516880170862</v>
      </c>
      <c r="Q152">
        <f>Q151+(Q151*E152/100)</f>
        <v>1170.4636101884607</v>
      </c>
    </row>
    <row r="153" spans="1:17" x14ac:dyDescent="0.25">
      <c r="A153" s="1">
        <v>45271</v>
      </c>
      <c r="B153">
        <v>0.85199052889177695</v>
      </c>
      <c r="C153">
        <v>1.7369852493211899</v>
      </c>
      <c r="D153">
        <v>1.3129759550272599</v>
      </c>
      <c r="E153">
        <v>0.21669923839540101</v>
      </c>
      <c r="F153" s="3">
        <v>0.43782582280558502</v>
      </c>
      <c r="G153">
        <f t="shared" si="20"/>
        <v>3.3264073388727902E-2</v>
      </c>
      <c r="H153" t="str">
        <f>IF(F153&gt;$T$2,"buy",IF(F153&lt;0,"sell","keep"))</f>
        <v>buy</v>
      </c>
      <c r="I153" t="str">
        <f t="shared" si="22"/>
        <v>buy</v>
      </c>
      <c r="J153">
        <f t="shared" si="21"/>
        <v>1</v>
      </c>
      <c r="K153" t="str">
        <f t="shared" si="23"/>
        <v>keep</v>
      </c>
      <c r="L153">
        <f t="shared" si="18"/>
        <v>0</v>
      </c>
      <c r="M153">
        <f t="shared" si="19"/>
        <v>0</v>
      </c>
      <c r="N153">
        <f t="shared" si="24"/>
        <v>0</v>
      </c>
      <c r="O153">
        <f t="shared" si="25"/>
        <v>0</v>
      </c>
      <c r="P153">
        <f t="shared" si="26"/>
        <v>1081.9588306452747</v>
      </c>
      <c r="Q153">
        <f>Q152+(Q152*E153/100)</f>
        <v>1172.9999959174345</v>
      </c>
    </row>
    <row r="154" spans="1:17" x14ac:dyDescent="0.25">
      <c r="A154" s="1">
        <v>45272</v>
      </c>
      <c r="B154">
        <v>0.816925983977423</v>
      </c>
      <c r="C154">
        <v>4.5267616257321501</v>
      </c>
      <c r="D154">
        <v>1.3224078093449301</v>
      </c>
      <c r="E154">
        <v>3.3264073388727902E-2</v>
      </c>
      <c r="F154" s="3">
        <v>0.68709911039902805</v>
      </c>
      <c r="G154">
        <f t="shared" si="20"/>
        <v>-1.0309213999660001</v>
      </c>
      <c r="H154" t="str">
        <f>IF(F154&gt;$T$2,"buy",IF(F154&lt;0,"sell","keep"))</f>
        <v>buy</v>
      </c>
      <c r="I154" t="str">
        <f t="shared" si="22"/>
        <v>buy</v>
      </c>
      <c r="J154">
        <f t="shared" si="21"/>
        <v>0</v>
      </c>
      <c r="K154" t="str">
        <f t="shared" si="23"/>
        <v>keep</v>
      </c>
      <c r="L154">
        <f t="shared" si="18"/>
        <v>0</v>
      </c>
      <c r="M154">
        <f t="shared" si="19"/>
        <v>0</v>
      </c>
      <c r="N154">
        <f t="shared" si="24"/>
        <v>0</v>
      </c>
      <c r="O154">
        <f t="shared" si="25"/>
        <v>0</v>
      </c>
      <c r="P154">
        <f t="shared" si="26"/>
        <v>1084.3034271910349</v>
      </c>
      <c r="Q154">
        <f>Q153+(Q153*E154/100)</f>
        <v>1173.3901834969263</v>
      </c>
    </row>
    <row r="155" spans="1:17" x14ac:dyDescent="0.25">
      <c r="A155" s="1">
        <v>45273</v>
      </c>
      <c r="B155">
        <v>1.27256915251388</v>
      </c>
      <c r="C155">
        <v>-4.2135438771276696</v>
      </c>
      <c r="D155">
        <v>0.691722311778453</v>
      </c>
      <c r="E155">
        <v>-1.0309213999660001</v>
      </c>
      <c r="F155" s="3">
        <v>5.7122964413215502E-2</v>
      </c>
      <c r="G155">
        <f t="shared" si="20"/>
        <v>-1.6969128118623</v>
      </c>
      <c r="H155" t="str">
        <f>IF(F155&gt;$T$2,"buy",IF(F155&lt;0,"sell","keep"))</f>
        <v>keep</v>
      </c>
      <c r="I155" t="str">
        <f t="shared" si="22"/>
        <v>sell</v>
      </c>
      <c r="J155">
        <f t="shared" si="21"/>
        <v>0</v>
      </c>
      <c r="K155" t="str">
        <f t="shared" si="23"/>
        <v>sell</v>
      </c>
      <c r="L155">
        <f t="shared" si="18"/>
        <v>0</v>
      </c>
      <c r="M155">
        <f t="shared" si="19"/>
        <v>1</v>
      </c>
      <c r="N155">
        <f t="shared" si="24"/>
        <v>0</v>
      </c>
      <c r="O155">
        <f t="shared" si="25"/>
        <v>1073.1251111195577</v>
      </c>
      <c r="P155">
        <f t="shared" si="26"/>
        <v>0</v>
      </c>
      <c r="Q155">
        <f>Q154+(Q154*E155/100)</f>
        <v>1161.2934529901561</v>
      </c>
    </row>
    <row r="156" spans="1:17" x14ac:dyDescent="0.25">
      <c r="A156" s="1">
        <v>45274</v>
      </c>
      <c r="B156">
        <v>-0.14816154797448999</v>
      </c>
      <c r="C156">
        <v>0.23977516616757699</v>
      </c>
      <c r="D156">
        <v>0.37589429829660798</v>
      </c>
      <c r="E156">
        <v>-1.6969128118623</v>
      </c>
      <c r="F156" s="3">
        <v>0.13333405579207899</v>
      </c>
      <c r="G156">
        <f t="shared" si="20"/>
        <v>-0.29054668650937399</v>
      </c>
      <c r="H156" t="str">
        <f>IF(F156&gt;$T$2,"buy",IF(F156&lt;0,"sell","keep"))</f>
        <v>keep</v>
      </c>
      <c r="I156" t="str">
        <f t="shared" si="22"/>
        <v>sell</v>
      </c>
      <c r="J156">
        <f t="shared" si="21"/>
        <v>0</v>
      </c>
      <c r="K156" t="str">
        <f t="shared" si="23"/>
        <v>keep</v>
      </c>
      <c r="L156">
        <f t="shared" si="18"/>
        <v>0</v>
      </c>
      <c r="M156">
        <f t="shared" si="19"/>
        <v>0</v>
      </c>
      <c r="N156">
        <f t="shared" si="24"/>
        <v>0</v>
      </c>
      <c r="O156">
        <f t="shared" si="25"/>
        <v>1073.1251111195577</v>
      </c>
      <c r="P156">
        <f t="shared" si="26"/>
        <v>0</v>
      </c>
      <c r="Q156">
        <f>Q155+(Q155*E156/100)</f>
        <v>1141.587315603048</v>
      </c>
    </row>
    <row r="157" spans="1:17" x14ac:dyDescent="0.25">
      <c r="A157" s="1">
        <v>45275</v>
      </c>
      <c r="B157">
        <v>0.51771689647635</v>
      </c>
      <c r="C157">
        <v>-0.57113149869526503</v>
      </c>
      <c r="D157">
        <v>-0.54235516277792895</v>
      </c>
      <c r="E157">
        <v>-0.29054668650937399</v>
      </c>
      <c r="F157" s="3">
        <v>-2.0364380519045301E-2</v>
      </c>
      <c r="G157">
        <f t="shared" si="20"/>
        <v>-0.20568854221225599</v>
      </c>
      <c r="H157" t="str">
        <f>IF(F157&gt;$T$2,"buy",IF(F157&lt;0,"sell","keep"))</f>
        <v>sell</v>
      </c>
      <c r="I157" t="str">
        <f t="shared" si="22"/>
        <v>sell</v>
      </c>
      <c r="J157">
        <f t="shared" si="21"/>
        <v>1</v>
      </c>
      <c r="K157" t="str">
        <f t="shared" si="23"/>
        <v>keep</v>
      </c>
      <c r="L157">
        <f t="shared" si="18"/>
        <v>0</v>
      </c>
      <c r="M157">
        <f t="shared" si="19"/>
        <v>0</v>
      </c>
      <c r="N157">
        <f t="shared" si="24"/>
        <v>0</v>
      </c>
      <c r="O157">
        <f t="shared" si="25"/>
        <v>1073.1251111195577</v>
      </c>
      <c r="P157">
        <f t="shared" si="26"/>
        <v>0</v>
      </c>
      <c r="Q157">
        <f>Q156+(Q156*E157/100)</f>
        <v>1138.270471483952</v>
      </c>
    </row>
    <row r="158" spans="1:17" x14ac:dyDescent="0.25">
      <c r="A158" s="1">
        <v>45278</v>
      </c>
      <c r="B158">
        <v>0.63976832425391905</v>
      </c>
      <c r="C158">
        <v>0.42220998826092399</v>
      </c>
      <c r="D158">
        <v>-0.402495508575195</v>
      </c>
      <c r="E158">
        <v>-0.20568854221225599</v>
      </c>
      <c r="F158" s="3">
        <v>9.0127234442720194E-2</v>
      </c>
      <c r="G158">
        <f t="shared" si="20"/>
        <v>0.755750688732992</v>
      </c>
      <c r="H158" t="str">
        <f>IF(F158&gt;$T$2,"buy",IF(F158&lt;0,"sell","keep"))</f>
        <v>keep</v>
      </c>
      <c r="I158" t="str">
        <f t="shared" si="22"/>
        <v>sell</v>
      </c>
      <c r="J158">
        <f t="shared" si="21"/>
        <v>1</v>
      </c>
      <c r="K158" t="str">
        <f t="shared" si="23"/>
        <v>keep</v>
      </c>
      <c r="L158">
        <f t="shared" si="18"/>
        <v>0</v>
      </c>
      <c r="M158">
        <f t="shared" si="19"/>
        <v>0</v>
      </c>
      <c r="N158">
        <f t="shared" si="24"/>
        <v>0</v>
      </c>
      <c r="O158">
        <f t="shared" si="25"/>
        <v>1073.1251111195577</v>
      </c>
      <c r="P158">
        <f t="shared" si="26"/>
        <v>0</v>
      </c>
      <c r="Q158">
        <f>Q157+(Q157*E158/100)</f>
        <v>1135.9291795447241</v>
      </c>
    </row>
    <row r="159" spans="1:17" x14ac:dyDescent="0.25">
      <c r="A159" s="1">
        <v>45279</v>
      </c>
      <c r="B159">
        <v>0.4904351773092</v>
      </c>
      <c r="C159">
        <v>0.73087500376878201</v>
      </c>
      <c r="D159">
        <v>0.11734415437887299</v>
      </c>
      <c r="E159">
        <v>0.755750688732992</v>
      </c>
      <c r="F159" s="3">
        <v>0.16993338230028901</v>
      </c>
      <c r="G159">
        <f t="shared" si="20"/>
        <v>0.15342849565243</v>
      </c>
      <c r="H159" t="str">
        <f>IF(F159&gt;$T$2,"buy",IF(F159&lt;0,"sell","keep"))</f>
        <v>buy</v>
      </c>
      <c r="I159" t="str">
        <f t="shared" si="22"/>
        <v>buy</v>
      </c>
      <c r="J159">
        <f t="shared" si="21"/>
        <v>1</v>
      </c>
      <c r="K159" t="str">
        <f t="shared" si="23"/>
        <v>buy</v>
      </c>
      <c r="L159">
        <f t="shared" si="18"/>
        <v>1</v>
      </c>
      <c r="M159">
        <f t="shared" si="19"/>
        <v>0</v>
      </c>
      <c r="N159">
        <f t="shared" si="24"/>
        <v>1</v>
      </c>
      <c r="O159">
        <f t="shared" si="25"/>
        <v>0</v>
      </c>
      <c r="P159">
        <f t="shared" si="26"/>
        <v>1073.1251111195577</v>
      </c>
      <c r="Q159">
        <f>Q158+(Q158*E159/100)</f>
        <v>1144.5139721426524</v>
      </c>
    </row>
    <row r="160" spans="1:17" x14ac:dyDescent="0.25">
      <c r="A160" s="1">
        <v>45280</v>
      </c>
      <c r="B160">
        <v>-1.5327846674365999</v>
      </c>
      <c r="C160">
        <v>-1.3904757795245599</v>
      </c>
      <c r="D160">
        <v>-1.2434966978028701</v>
      </c>
      <c r="E160">
        <v>0.15342849565243</v>
      </c>
      <c r="F160" s="3">
        <v>-0.19824777965306301</v>
      </c>
      <c r="G160">
        <f t="shared" si="20"/>
        <v>0.51063274240314904</v>
      </c>
      <c r="H160" t="str">
        <f>IF(F160&gt;$T$2,"buy",IF(F160&lt;0,"sell","keep"))</f>
        <v>sell</v>
      </c>
      <c r="I160" t="str">
        <f t="shared" si="22"/>
        <v>sell</v>
      </c>
      <c r="J160">
        <f t="shared" si="21"/>
        <v>0</v>
      </c>
      <c r="K160" t="str">
        <f t="shared" si="23"/>
        <v>sell</v>
      </c>
      <c r="L160">
        <f t="shared" si="18"/>
        <v>0</v>
      </c>
      <c r="M160">
        <f t="shared" si="19"/>
        <v>1</v>
      </c>
      <c r="N160">
        <f t="shared" si="24"/>
        <v>0</v>
      </c>
      <c r="O160">
        <f t="shared" si="25"/>
        <v>1074.7715908340169</v>
      </c>
      <c r="P160">
        <f t="shared" si="26"/>
        <v>0</v>
      </c>
      <c r="Q160">
        <f>Q159+(Q159*E160/100)</f>
        <v>1146.2699827126428</v>
      </c>
    </row>
    <row r="161" spans="1:17" x14ac:dyDescent="0.25">
      <c r="A161" s="1">
        <v>45281</v>
      </c>
      <c r="B161">
        <v>1.2277880489350099</v>
      </c>
      <c r="C161">
        <v>0.68165986588675198</v>
      </c>
      <c r="D161">
        <v>0.593314252041232</v>
      </c>
      <c r="E161">
        <v>0.51063274240314904</v>
      </c>
      <c r="F161" s="3">
        <v>0.21517400345894799</v>
      </c>
      <c r="G161">
        <f t="shared" si="20"/>
        <v>0.38949741136939903</v>
      </c>
      <c r="H161" t="str">
        <f>IF(F161&gt;$T$2,"buy",IF(F161&lt;0,"sell","keep"))</f>
        <v>buy</v>
      </c>
      <c r="I161" t="str">
        <f t="shared" si="22"/>
        <v>buy</v>
      </c>
      <c r="J161">
        <f t="shared" si="21"/>
        <v>1</v>
      </c>
      <c r="K161" t="str">
        <f t="shared" si="23"/>
        <v>buy</v>
      </c>
      <c r="L161">
        <f t="shared" si="18"/>
        <v>1</v>
      </c>
      <c r="M161">
        <f t="shared" si="19"/>
        <v>0</v>
      </c>
      <c r="N161">
        <f t="shared" si="24"/>
        <v>1</v>
      </c>
      <c r="O161">
        <f t="shared" si="25"/>
        <v>0</v>
      </c>
      <c r="P161">
        <f t="shared" si="26"/>
        <v>1074.7715908340169</v>
      </c>
      <c r="Q161">
        <f>Q160+(Q160*E161/100)</f>
        <v>1152.1232125607125</v>
      </c>
    </row>
    <row r="162" spans="1:17" x14ac:dyDescent="0.25">
      <c r="A162" s="1">
        <v>45282</v>
      </c>
      <c r="B162">
        <v>0.119291908407115</v>
      </c>
      <c r="C162">
        <v>0.39352335047535503</v>
      </c>
      <c r="D162">
        <v>1.54005454659493</v>
      </c>
      <c r="E162">
        <v>0.38949741136939903</v>
      </c>
      <c r="F162" s="3">
        <v>0.25728808789589402</v>
      </c>
      <c r="G162">
        <f t="shared" si="20"/>
        <v>-0.50710108080758098</v>
      </c>
      <c r="H162" t="str">
        <f>IF(F162&gt;$T$2,"buy",IF(F162&lt;0,"sell","keep"))</f>
        <v>buy</v>
      </c>
      <c r="I162" t="str">
        <f t="shared" si="22"/>
        <v>buy</v>
      </c>
      <c r="J162">
        <f t="shared" si="21"/>
        <v>0</v>
      </c>
      <c r="K162" t="str">
        <f t="shared" si="23"/>
        <v>keep</v>
      </c>
      <c r="L162">
        <f t="shared" si="18"/>
        <v>0</v>
      </c>
      <c r="M162">
        <f t="shared" si="19"/>
        <v>0</v>
      </c>
      <c r="N162">
        <f t="shared" si="24"/>
        <v>0</v>
      </c>
      <c r="O162">
        <f t="shared" si="25"/>
        <v>0</v>
      </c>
      <c r="P162">
        <f t="shared" si="26"/>
        <v>1080.2597264828626</v>
      </c>
      <c r="Q162">
        <f>Q161+(Q161*E162/100)</f>
        <v>1156.6107026494226</v>
      </c>
    </row>
    <row r="163" spans="1:17" x14ac:dyDescent="0.25">
      <c r="A163" s="1">
        <v>45288</v>
      </c>
      <c r="B163">
        <v>-4.9270575981696901E-2</v>
      </c>
      <c r="C163">
        <v>-0.35018616629891502</v>
      </c>
      <c r="D163">
        <v>-8.3923614914094197E-2</v>
      </c>
      <c r="E163">
        <v>-0.50710108080758098</v>
      </c>
      <c r="F163" s="3">
        <v>3.8466357751318403E-2</v>
      </c>
      <c r="G163">
        <f t="shared" si="20"/>
        <v>0.20387862948858501</v>
      </c>
      <c r="H163" t="str">
        <f>IF(F163&gt;$T$2,"buy",IF(F163&lt;0,"sell","keep"))</f>
        <v>keep</v>
      </c>
      <c r="I163" t="str">
        <f t="shared" si="22"/>
        <v>sell</v>
      </c>
      <c r="J163">
        <f t="shared" si="21"/>
        <v>1</v>
      </c>
      <c r="K163" t="str">
        <f t="shared" si="23"/>
        <v>sell</v>
      </c>
      <c r="L163">
        <f t="shared" si="18"/>
        <v>0</v>
      </c>
      <c r="M163">
        <f t="shared" si="19"/>
        <v>1</v>
      </c>
      <c r="N163">
        <f t="shared" si="24"/>
        <v>1</v>
      </c>
      <c r="O163">
        <f t="shared" si="25"/>
        <v>1074.7817177343391</v>
      </c>
      <c r="P163">
        <f t="shared" si="26"/>
        <v>0</v>
      </c>
      <c r="Q163">
        <f>Q162+(Q162*E163/100)</f>
        <v>1150.7455172755513</v>
      </c>
    </row>
    <row r="164" spans="1:17" x14ac:dyDescent="0.25">
      <c r="A164" s="1">
        <v>45289</v>
      </c>
      <c r="B164">
        <v>-0.42927562440064898</v>
      </c>
      <c r="C164">
        <v>0.22938581670632799</v>
      </c>
      <c r="D164">
        <v>0.14216191679305901</v>
      </c>
      <c r="E164">
        <v>0.20387862948858501</v>
      </c>
      <c r="F164" s="3">
        <v>0.109144624250842</v>
      </c>
      <c r="G164">
        <f t="shared" si="20"/>
        <v>-0.100941030199919</v>
      </c>
      <c r="H164" t="str">
        <f>IF(F164&gt;$T$2,"buy",IF(F164&lt;0,"sell","keep"))</f>
        <v>keep</v>
      </c>
      <c r="I164" t="str">
        <f t="shared" si="22"/>
        <v>sell</v>
      </c>
      <c r="J164">
        <f t="shared" si="21"/>
        <v>0</v>
      </c>
      <c r="K164" t="str">
        <f t="shared" si="23"/>
        <v>keep</v>
      </c>
      <c r="L164">
        <f t="shared" si="18"/>
        <v>0</v>
      </c>
      <c r="M164">
        <f t="shared" si="19"/>
        <v>0</v>
      </c>
      <c r="N164">
        <f t="shared" si="24"/>
        <v>0</v>
      </c>
      <c r="O164">
        <f t="shared" si="25"/>
        <v>1074.7817177343391</v>
      </c>
      <c r="P164">
        <f t="shared" si="26"/>
        <v>0</v>
      </c>
      <c r="Q164">
        <f>Q163+(Q163*E164/100)</f>
        <v>1153.091641465074</v>
      </c>
    </row>
    <row r="165" spans="1:17" x14ac:dyDescent="0.25">
      <c r="A165" s="1">
        <v>45294</v>
      </c>
      <c r="B165">
        <v>-1.0605044780725399</v>
      </c>
      <c r="C165">
        <v>-0.21241694807650999</v>
      </c>
      <c r="D165">
        <v>0.400442444297199</v>
      </c>
      <c r="E165">
        <v>-0.100941030199919</v>
      </c>
      <c r="F165" s="3">
        <v>7.7540830135042593E-2</v>
      </c>
      <c r="G165">
        <f t="shared" si="20"/>
        <v>0.75783345652704603</v>
      </c>
      <c r="H165" t="str">
        <f>IF(F165&gt;$T$2,"buy",IF(F165&lt;0,"sell","keep"))</f>
        <v>keep</v>
      </c>
      <c r="I165" t="str">
        <f t="shared" si="22"/>
        <v>sell</v>
      </c>
      <c r="J165">
        <f t="shared" si="21"/>
        <v>1</v>
      </c>
      <c r="K165" t="str">
        <f t="shared" si="23"/>
        <v>keep</v>
      </c>
      <c r="L165">
        <f t="shared" si="18"/>
        <v>0</v>
      </c>
      <c r="M165">
        <f t="shared" si="19"/>
        <v>0</v>
      </c>
      <c r="N165">
        <f t="shared" si="24"/>
        <v>0</v>
      </c>
      <c r="O165">
        <f t="shared" si="25"/>
        <v>1074.7817177343391</v>
      </c>
      <c r="P165">
        <f t="shared" si="26"/>
        <v>0</v>
      </c>
      <c r="Q165">
        <f>Q164+(Q164*E165/100)</f>
        <v>1151.92769888303</v>
      </c>
    </row>
    <row r="166" spans="1:17" x14ac:dyDescent="0.25">
      <c r="A166" s="1">
        <v>45295</v>
      </c>
      <c r="B166">
        <v>-0.52833503586289199</v>
      </c>
      <c r="C166">
        <v>-2.93594087981685E-2</v>
      </c>
      <c r="D166">
        <v>0.62320606256371902</v>
      </c>
      <c r="E166">
        <v>0.75783345652704603</v>
      </c>
      <c r="F166" s="3">
        <v>0.12840913902413301</v>
      </c>
      <c r="G166">
        <f t="shared" si="20"/>
        <v>-0.13371548077895001</v>
      </c>
      <c r="H166" t="str">
        <f>IF(F166&gt;$T$2,"buy",IF(F166&lt;0,"sell","keep"))</f>
        <v>keep</v>
      </c>
      <c r="I166" t="str">
        <f t="shared" si="22"/>
        <v>sell</v>
      </c>
      <c r="J166">
        <f t="shared" si="21"/>
        <v>0</v>
      </c>
      <c r="K166" t="str">
        <f t="shared" si="23"/>
        <v>keep</v>
      </c>
      <c r="L166">
        <f t="shared" si="18"/>
        <v>0</v>
      </c>
      <c r="M166">
        <f t="shared" si="19"/>
        <v>0</v>
      </c>
      <c r="N166">
        <f t="shared" si="24"/>
        <v>0</v>
      </c>
      <c r="O166">
        <f t="shared" si="25"/>
        <v>1074.7817177343391</v>
      </c>
      <c r="P166">
        <f t="shared" si="26"/>
        <v>0</v>
      </c>
      <c r="Q166">
        <f>Q165+(Q165*E166/100)</f>
        <v>1160.6573923801677</v>
      </c>
    </row>
    <row r="167" spans="1:17" x14ac:dyDescent="0.25">
      <c r="A167" s="1">
        <v>45296</v>
      </c>
      <c r="B167">
        <v>0.14722201663093201</v>
      </c>
      <c r="C167">
        <v>0.12971582733067799</v>
      </c>
      <c r="D167">
        <v>0.42114850656209601</v>
      </c>
      <c r="E167">
        <v>-0.13371548077895001</v>
      </c>
      <c r="F167" s="3">
        <v>0.13122302970691699</v>
      </c>
      <c r="G167">
        <f t="shared" si="20"/>
        <v>0.11715234902989199</v>
      </c>
      <c r="H167" t="str">
        <f>IF(F167&gt;$T$2,"buy",IF(F167&lt;0,"sell","keep"))</f>
        <v>keep</v>
      </c>
      <c r="I167" t="str">
        <f t="shared" si="22"/>
        <v>sell</v>
      </c>
      <c r="J167">
        <f t="shared" si="21"/>
        <v>1</v>
      </c>
      <c r="K167" t="str">
        <f t="shared" si="23"/>
        <v>keep</v>
      </c>
      <c r="L167">
        <f t="shared" si="18"/>
        <v>0</v>
      </c>
      <c r="M167">
        <f t="shared" si="19"/>
        <v>0</v>
      </c>
      <c r="N167">
        <f t="shared" si="24"/>
        <v>0</v>
      </c>
      <c r="O167">
        <f t="shared" si="25"/>
        <v>1074.7817177343391</v>
      </c>
      <c r="P167">
        <f t="shared" si="26"/>
        <v>0</v>
      </c>
      <c r="Q167">
        <f>Q166+(Q166*E167/100)</f>
        <v>1159.1054137677502</v>
      </c>
    </row>
    <row r="168" spans="1:17" x14ac:dyDescent="0.25">
      <c r="A168" s="1">
        <v>45299</v>
      </c>
      <c r="B168">
        <v>2.1089726713094898</v>
      </c>
      <c r="C168">
        <v>-0.20287657294768499</v>
      </c>
      <c r="D168">
        <v>-0.43788444393784098</v>
      </c>
      <c r="E168">
        <v>0.11715234902989199</v>
      </c>
      <c r="F168" s="3">
        <v>4.8001250525743298E-2</v>
      </c>
      <c r="G168">
        <f t="shared" si="20"/>
        <v>-0.91942091814158899</v>
      </c>
      <c r="H168" t="str">
        <f>IF(F168&gt;$T$2,"buy",IF(F168&lt;0,"sell","keep"))</f>
        <v>keep</v>
      </c>
      <c r="I168" t="str">
        <f t="shared" si="22"/>
        <v>sell</v>
      </c>
      <c r="J168">
        <f t="shared" si="21"/>
        <v>0</v>
      </c>
      <c r="K168" t="str">
        <f t="shared" si="23"/>
        <v>keep</v>
      </c>
      <c r="L168">
        <f t="shared" si="18"/>
        <v>0</v>
      </c>
      <c r="M168">
        <f t="shared" si="19"/>
        <v>0</v>
      </c>
      <c r="N168">
        <f t="shared" si="24"/>
        <v>0</v>
      </c>
      <c r="O168">
        <f t="shared" si="25"/>
        <v>1074.7817177343391</v>
      </c>
      <c r="P168">
        <f t="shared" si="26"/>
        <v>0</v>
      </c>
      <c r="Q168">
        <f>Q167+(Q167*E168/100)</f>
        <v>1160.4633329877117</v>
      </c>
    </row>
    <row r="169" spans="1:17" x14ac:dyDescent="0.25">
      <c r="A169" s="1">
        <v>45300</v>
      </c>
      <c r="B169">
        <v>0.17315498327043999</v>
      </c>
      <c r="C169">
        <v>-0.39187169108108</v>
      </c>
      <c r="D169">
        <v>0.54511699755510601</v>
      </c>
      <c r="E169">
        <v>-0.91942091814158899</v>
      </c>
      <c r="F169" s="3">
        <v>8.2206175119669794E-2</v>
      </c>
      <c r="G169">
        <f t="shared" si="20"/>
        <v>-0.33743996610917598</v>
      </c>
      <c r="H169" t="str">
        <f>IF(F169&gt;$T$2,"buy",IF(F169&lt;0,"sell","keep"))</f>
        <v>keep</v>
      </c>
      <c r="I169" t="str">
        <f t="shared" si="22"/>
        <v>sell</v>
      </c>
      <c r="J169">
        <f t="shared" si="21"/>
        <v>0</v>
      </c>
      <c r="K169" t="str">
        <f t="shared" si="23"/>
        <v>keep</v>
      </c>
      <c r="L169">
        <f t="shared" si="18"/>
        <v>0</v>
      </c>
      <c r="M169">
        <f t="shared" si="19"/>
        <v>0</v>
      </c>
      <c r="N169">
        <f t="shared" si="24"/>
        <v>0</v>
      </c>
      <c r="O169">
        <f t="shared" si="25"/>
        <v>1074.7817177343391</v>
      </c>
      <c r="P169">
        <f t="shared" si="26"/>
        <v>0</v>
      </c>
      <c r="Q169">
        <f>Q168+(Q168*E169/100)</f>
        <v>1149.7937903568597</v>
      </c>
    </row>
    <row r="170" spans="1:17" x14ac:dyDescent="0.25">
      <c r="A170" s="1">
        <v>45301</v>
      </c>
      <c r="B170">
        <v>0.68561439354604103</v>
      </c>
      <c r="C170">
        <v>-0.199169943058674</v>
      </c>
      <c r="D170">
        <v>1.58954968503022</v>
      </c>
      <c r="E170">
        <v>-0.33743996610917598</v>
      </c>
      <c r="F170" s="3">
        <v>0.181086719991574</v>
      </c>
      <c r="G170">
        <f t="shared" si="20"/>
        <v>-1.0326751157260301</v>
      </c>
      <c r="H170" t="str">
        <f>IF(F170&gt;$T$2,"buy",IF(F170&lt;0,"sell","keep"))</f>
        <v>buy</v>
      </c>
      <c r="I170" t="str">
        <f t="shared" si="22"/>
        <v>buy</v>
      </c>
      <c r="J170">
        <f t="shared" si="21"/>
        <v>0</v>
      </c>
      <c r="K170" t="str">
        <f t="shared" si="23"/>
        <v>buy</v>
      </c>
      <c r="L170">
        <f t="shared" si="18"/>
        <v>1</v>
      </c>
      <c r="M170">
        <f t="shared" si="19"/>
        <v>0</v>
      </c>
      <c r="N170">
        <f t="shared" si="24"/>
        <v>0</v>
      </c>
      <c r="O170">
        <f t="shared" si="25"/>
        <v>0</v>
      </c>
      <c r="P170">
        <f t="shared" si="26"/>
        <v>1074.7817177343391</v>
      </c>
      <c r="Q170">
        <f>Q169+(Q169*E170/100)</f>
        <v>1145.9139265803542</v>
      </c>
    </row>
    <row r="171" spans="1:17" x14ac:dyDescent="0.25">
      <c r="A171" s="1">
        <v>45302</v>
      </c>
      <c r="B171">
        <v>0.16584008312590101</v>
      </c>
      <c r="C171">
        <v>1.9714552409477702E-2</v>
      </c>
      <c r="D171">
        <v>-0.67315264307858902</v>
      </c>
      <c r="E171">
        <v>-1.0326751157260301</v>
      </c>
      <c r="F171" s="3">
        <v>2.0725765873507399E-2</v>
      </c>
      <c r="G171">
        <f t="shared" si="20"/>
        <v>0.65002221590295595</v>
      </c>
      <c r="H171" t="str">
        <f>IF(F171&gt;$T$2,"buy",IF(F171&lt;0,"sell","keep"))</f>
        <v>keep</v>
      </c>
      <c r="I171" t="str">
        <f t="shared" si="22"/>
        <v>sell</v>
      </c>
      <c r="J171">
        <f t="shared" si="21"/>
        <v>1</v>
      </c>
      <c r="K171" t="str">
        <f t="shared" si="23"/>
        <v>sell</v>
      </c>
      <c r="L171">
        <f t="shared" si="18"/>
        <v>0</v>
      </c>
      <c r="M171">
        <f t="shared" si="19"/>
        <v>1</v>
      </c>
      <c r="N171">
        <f t="shared" si="24"/>
        <v>1</v>
      </c>
      <c r="O171">
        <f t="shared" si="25"/>
        <v>1063.6827143869239</v>
      </c>
      <c r="P171">
        <f t="shared" si="26"/>
        <v>0</v>
      </c>
      <c r="Q171">
        <f>Q170+(Q170*E171/100)</f>
        <v>1134.0803586129198</v>
      </c>
    </row>
    <row r="172" spans="1:17" x14ac:dyDescent="0.25">
      <c r="A172" s="1">
        <v>45303</v>
      </c>
      <c r="B172">
        <v>7.1455932624742105E-2</v>
      </c>
      <c r="C172">
        <v>0.72913271987611294</v>
      </c>
      <c r="D172">
        <v>0.10479314009455</v>
      </c>
      <c r="E172">
        <v>0.65002221590295595</v>
      </c>
      <c r="F172" s="3">
        <v>0.16021372278374801</v>
      </c>
      <c r="G172">
        <f t="shared" si="20"/>
        <v>-0.287070462212835</v>
      </c>
      <c r="H172" t="str">
        <f>IF(F172&gt;$T$2,"buy",IF(F172&lt;0,"sell","keep"))</f>
        <v>buy</v>
      </c>
      <c r="I172" t="str">
        <f t="shared" si="22"/>
        <v>buy</v>
      </c>
      <c r="J172">
        <f t="shared" si="21"/>
        <v>0</v>
      </c>
      <c r="K172" t="str">
        <f t="shared" si="23"/>
        <v>buy</v>
      </c>
      <c r="L172">
        <f t="shared" si="18"/>
        <v>1</v>
      </c>
      <c r="M172">
        <f t="shared" si="19"/>
        <v>0</v>
      </c>
      <c r="N172">
        <f t="shared" si="24"/>
        <v>0</v>
      </c>
      <c r="O172">
        <f t="shared" si="25"/>
        <v>0</v>
      </c>
      <c r="P172">
        <f t="shared" si="26"/>
        <v>1063.6827143869239</v>
      </c>
      <c r="Q172">
        <f>Q171+(Q171*E172/100)</f>
        <v>1141.4521328900958</v>
      </c>
    </row>
    <row r="173" spans="1:17" x14ac:dyDescent="0.25">
      <c r="A173" s="1">
        <v>45308</v>
      </c>
      <c r="B173">
        <v>-0.56106744970944</v>
      </c>
      <c r="C173">
        <v>2.4588829958149799E-2</v>
      </c>
      <c r="D173">
        <v>0.34679298227286898</v>
      </c>
      <c r="E173">
        <v>-0.287070462212835</v>
      </c>
      <c r="F173" s="3">
        <v>0.102570362320255</v>
      </c>
      <c r="G173">
        <f t="shared" si="20"/>
        <v>1.4902632148894901</v>
      </c>
      <c r="H173" t="str">
        <f>IF(F173&gt;$T$2,"buy",IF(F173&lt;0,"sell","keep"))</f>
        <v>keep</v>
      </c>
      <c r="I173" t="str">
        <f t="shared" si="22"/>
        <v>sell</v>
      </c>
      <c r="J173">
        <f t="shared" si="21"/>
        <v>1</v>
      </c>
      <c r="K173" t="str">
        <f t="shared" si="23"/>
        <v>sell</v>
      </c>
      <c r="L173">
        <f t="shared" si="18"/>
        <v>0</v>
      </c>
      <c r="M173">
        <f t="shared" si="19"/>
        <v>1</v>
      </c>
      <c r="N173">
        <f t="shared" si="24"/>
        <v>1</v>
      </c>
      <c r="O173">
        <f t="shared" si="25"/>
        <v>1060.6291955022552</v>
      </c>
      <c r="P173">
        <f t="shared" si="26"/>
        <v>0</v>
      </c>
      <c r="Q173">
        <f>Q172+(Q172*E173/100)</f>
        <v>1138.17536097627</v>
      </c>
    </row>
    <row r="174" spans="1:17" x14ac:dyDescent="0.25">
      <c r="A174" s="1">
        <v>45309</v>
      </c>
      <c r="B174">
        <v>1.46991909767504</v>
      </c>
      <c r="C174">
        <v>0.27044142493337597</v>
      </c>
      <c r="D174">
        <v>0.77759515625035402</v>
      </c>
      <c r="E174">
        <v>1.4902632148894901</v>
      </c>
      <c r="F174" s="3">
        <v>0.14341673322817</v>
      </c>
      <c r="G174">
        <f t="shared" si="20"/>
        <v>2.0023428430572001</v>
      </c>
      <c r="H174" t="str">
        <f>IF(F174&gt;$T$2,"buy",IF(F174&lt;0,"sell","keep"))</f>
        <v>keep</v>
      </c>
      <c r="I174" t="str">
        <f t="shared" si="22"/>
        <v>sell</v>
      </c>
      <c r="J174">
        <f t="shared" si="21"/>
        <v>1</v>
      </c>
      <c r="K174" t="str">
        <f t="shared" si="23"/>
        <v>keep</v>
      </c>
      <c r="L174">
        <f t="shared" si="18"/>
        <v>0</v>
      </c>
      <c r="M174">
        <f t="shared" si="19"/>
        <v>0</v>
      </c>
      <c r="N174">
        <f t="shared" si="24"/>
        <v>0</v>
      </c>
      <c r="O174">
        <f t="shared" si="25"/>
        <v>1060.6291955022552</v>
      </c>
      <c r="P174">
        <f t="shared" si="26"/>
        <v>0</v>
      </c>
      <c r="Q174">
        <f>Q173+(Q173*E174/100)</f>
        <v>1155.1371697018351</v>
      </c>
    </row>
    <row r="175" spans="1:17" x14ac:dyDescent="0.25">
      <c r="A175" s="1">
        <v>45310</v>
      </c>
      <c r="B175">
        <v>1.95327577029928</v>
      </c>
      <c r="C175">
        <v>-0.11524435502998601</v>
      </c>
      <c r="D175">
        <v>0.90018447100461696</v>
      </c>
      <c r="E175">
        <v>2.0023428430572001</v>
      </c>
      <c r="F175" s="3">
        <v>0.14813725024599</v>
      </c>
      <c r="G175">
        <f t="shared" si="20"/>
        <v>0.49075903240234298</v>
      </c>
      <c r="H175" t="str">
        <f>IF(F175&gt;$T$2,"buy",IF(F175&lt;0,"sell","keep"))</f>
        <v>keep</v>
      </c>
      <c r="I175" t="str">
        <f t="shared" si="22"/>
        <v>sell</v>
      </c>
      <c r="J175">
        <f t="shared" si="21"/>
        <v>1</v>
      </c>
      <c r="K175" t="str">
        <f t="shared" si="23"/>
        <v>keep</v>
      </c>
      <c r="L175">
        <f t="shared" si="18"/>
        <v>0</v>
      </c>
      <c r="M175">
        <f t="shared" si="19"/>
        <v>0</v>
      </c>
      <c r="N175">
        <f t="shared" si="24"/>
        <v>0</v>
      </c>
      <c r="O175">
        <f t="shared" si="25"/>
        <v>1060.6291955022552</v>
      </c>
      <c r="P175">
        <f t="shared" si="26"/>
        <v>0</v>
      </c>
      <c r="Q175">
        <f>Q174+(Q174*E175/100)</f>
        <v>1178.2669761468533</v>
      </c>
    </row>
    <row r="176" spans="1:17" x14ac:dyDescent="0.25">
      <c r="A176" s="1">
        <v>45313</v>
      </c>
      <c r="B176">
        <v>9.4610485012136494E-2</v>
      </c>
      <c r="C176">
        <v>-0.22337737866784299</v>
      </c>
      <c r="D176">
        <v>0.37628469947170701</v>
      </c>
      <c r="E176">
        <v>0.49075903240234298</v>
      </c>
      <c r="F176" s="3">
        <v>9.7156693926637103E-2</v>
      </c>
      <c r="G176">
        <f t="shared" si="20"/>
        <v>-0.32558184430361198</v>
      </c>
      <c r="H176" t="str">
        <f>IF(F176&gt;$T$2,"buy",IF(F176&lt;0,"sell","keep"))</f>
        <v>keep</v>
      </c>
      <c r="I176" t="str">
        <f t="shared" si="22"/>
        <v>sell</v>
      </c>
      <c r="J176">
        <f t="shared" si="21"/>
        <v>0</v>
      </c>
      <c r="K176" t="str">
        <f t="shared" si="23"/>
        <v>keep</v>
      </c>
      <c r="L176">
        <f t="shared" si="18"/>
        <v>0</v>
      </c>
      <c r="M176">
        <f t="shared" si="19"/>
        <v>0</v>
      </c>
      <c r="N176">
        <f t="shared" si="24"/>
        <v>0</v>
      </c>
      <c r="O176">
        <f t="shared" si="25"/>
        <v>1060.6291955022552</v>
      </c>
      <c r="P176">
        <f t="shared" si="26"/>
        <v>0</v>
      </c>
      <c r="Q176">
        <f>Q175+(Q175*E176/100)</f>
        <v>1184.0494277581079</v>
      </c>
    </row>
    <row r="177" spans="1:17" x14ac:dyDescent="0.25">
      <c r="A177" s="1">
        <v>45314</v>
      </c>
      <c r="B177">
        <v>0.42601532374899598</v>
      </c>
      <c r="C177">
        <v>0.34934836160016502</v>
      </c>
      <c r="D177">
        <v>1.2757697534549499</v>
      </c>
      <c r="E177">
        <v>-0.32558184430361198</v>
      </c>
      <c r="F177" s="3">
        <v>0.226766671799839</v>
      </c>
      <c r="G177">
        <f t="shared" si="20"/>
        <v>1.06157471967789</v>
      </c>
      <c r="H177" t="str">
        <f>IF(F177&gt;$T$2,"buy",IF(F177&lt;0,"sell","keep"))</f>
        <v>buy</v>
      </c>
      <c r="I177" t="str">
        <f t="shared" si="22"/>
        <v>buy</v>
      </c>
      <c r="J177">
        <f t="shared" si="21"/>
        <v>1</v>
      </c>
      <c r="K177" t="str">
        <f t="shared" si="23"/>
        <v>buy</v>
      </c>
      <c r="L177">
        <f t="shared" si="18"/>
        <v>1</v>
      </c>
      <c r="M177">
        <f t="shared" si="19"/>
        <v>0</v>
      </c>
      <c r="N177">
        <f t="shared" si="24"/>
        <v>1</v>
      </c>
      <c r="O177">
        <f t="shared" si="25"/>
        <v>0</v>
      </c>
      <c r="P177">
        <f t="shared" si="26"/>
        <v>1060.6291955022552</v>
      </c>
      <c r="Q177">
        <f>Q176+(Q176*E177/100)</f>
        <v>1180.1943777937468</v>
      </c>
    </row>
    <row r="178" spans="1:17" x14ac:dyDescent="0.25">
      <c r="A178" s="1">
        <v>45315</v>
      </c>
      <c r="B178">
        <v>0.54636113117381102</v>
      </c>
      <c r="C178">
        <v>-1.62053877710661</v>
      </c>
      <c r="D178">
        <v>-1.95819798165185</v>
      </c>
      <c r="E178">
        <v>1.06157471967789</v>
      </c>
      <c r="F178" s="3">
        <v>-0.23659818535601301</v>
      </c>
      <c r="G178">
        <f t="shared" si="20"/>
        <v>-0.61408971173789695</v>
      </c>
      <c r="H178" t="str">
        <f>IF(F178&gt;$T$2,"buy",IF(F178&lt;0,"sell","keep"))</f>
        <v>sell</v>
      </c>
      <c r="I178" t="str">
        <f t="shared" si="22"/>
        <v>sell</v>
      </c>
      <c r="J178">
        <f t="shared" si="21"/>
        <v>1</v>
      </c>
      <c r="K178" t="str">
        <f t="shared" si="23"/>
        <v>sell</v>
      </c>
      <c r="L178">
        <f t="shared" si="18"/>
        <v>0</v>
      </c>
      <c r="M178">
        <f t="shared" si="19"/>
        <v>1</v>
      </c>
      <c r="N178">
        <f t="shared" si="24"/>
        <v>1</v>
      </c>
      <c r="O178">
        <f t="shared" si="25"/>
        <v>1071.8885669112301</v>
      </c>
      <c r="P178">
        <f t="shared" si="26"/>
        <v>0</v>
      </c>
      <c r="Q178">
        <f>Q177+(Q177*E178/100)</f>
        <v>1192.7230229514648</v>
      </c>
    </row>
    <row r="179" spans="1:17" x14ac:dyDescent="0.25">
      <c r="A179" s="1">
        <v>45316</v>
      </c>
      <c r="B179">
        <v>0.101086628238045</v>
      </c>
      <c r="C179">
        <v>0.54575938420842096</v>
      </c>
      <c r="D179">
        <v>0.55412467202950999</v>
      </c>
      <c r="E179">
        <v>-0.61408971173789695</v>
      </c>
      <c r="F179" s="3">
        <v>0.194893969425872</v>
      </c>
      <c r="G179">
        <f t="shared" si="20"/>
        <v>0.55284182004000604</v>
      </c>
      <c r="H179" t="str">
        <f>IF(F179&gt;$T$2,"buy",IF(F179&lt;0,"sell","keep"))</f>
        <v>buy</v>
      </c>
      <c r="I179" t="str">
        <f t="shared" si="22"/>
        <v>buy</v>
      </c>
      <c r="J179">
        <f t="shared" si="21"/>
        <v>1</v>
      </c>
      <c r="K179" t="str">
        <f t="shared" si="23"/>
        <v>buy</v>
      </c>
      <c r="L179">
        <f t="shared" si="18"/>
        <v>1</v>
      </c>
      <c r="M179">
        <f t="shared" si="19"/>
        <v>0</v>
      </c>
      <c r="N179">
        <f t="shared" si="24"/>
        <v>1</v>
      </c>
      <c r="O179">
        <f t="shared" si="25"/>
        <v>0</v>
      </c>
      <c r="P179">
        <f t="shared" si="26"/>
        <v>1071.8885669112301</v>
      </c>
      <c r="Q179">
        <f>Q178+(Q178*E179/100)</f>
        <v>1185.3986335779907</v>
      </c>
    </row>
    <row r="180" spans="1:17" x14ac:dyDescent="0.25">
      <c r="A180" s="1">
        <v>45317</v>
      </c>
      <c r="B180">
        <v>-0.54792785441901604</v>
      </c>
      <c r="C180">
        <v>0.141278062119365</v>
      </c>
      <c r="D180">
        <v>-0.44208027762903102</v>
      </c>
      <c r="E180">
        <v>0.55284182004000604</v>
      </c>
      <c r="F180" s="3">
        <v>6.5804151792784094E-2</v>
      </c>
      <c r="G180">
        <f t="shared" si="20"/>
        <v>0.35576212825123499</v>
      </c>
      <c r="H180" t="str">
        <f>IF(F180&gt;$T$2,"buy",IF(F180&lt;0,"sell","keep"))</f>
        <v>keep</v>
      </c>
      <c r="I180" t="str">
        <f t="shared" si="22"/>
        <v>sell</v>
      </c>
      <c r="J180">
        <f t="shared" si="21"/>
        <v>1</v>
      </c>
      <c r="K180" t="str">
        <f t="shared" si="23"/>
        <v>sell</v>
      </c>
      <c r="L180">
        <f t="shared" si="18"/>
        <v>0</v>
      </c>
      <c r="M180">
        <f t="shared" si="19"/>
        <v>1</v>
      </c>
      <c r="N180">
        <f t="shared" si="24"/>
        <v>1</v>
      </c>
      <c r="O180">
        <f t="shared" si="25"/>
        <v>1077.8144151733429</v>
      </c>
      <c r="P180">
        <f t="shared" si="26"/>
        <v>0</v>
      </c>
      <c r="Q180">
        <f>Q179+(Q179*E180/100)</f>
        <v>1191.9520129585926</v>
      </c>
    </row>
    <row r="181" spans="1:17" x14ac:dyDescent="0.25">
      <c r="A181" s="1">
        <v>45320</v>
      </c>
      <c r="B181">
        <v>1.0060252992385199</v>
      </c>
      <c r="C181">
        <v>0.38857091674919703</v>
      </c>
      <c r="D181">
        <v>-0.29805047271691498</v>
      </c>
      <c r="E181">
        <v>0.35576212825123499</v>
      </c>
      <c r="F181" s="3">
        <v>0.11116962748809001</v>
      </c>
      <c r="G181">
        <f t="shared" si="20"/>
        <v>0.33837508335305899</v>
      </c>
      <c r="H181" t="str">
        <f>IF(F181&gt;$T$2,"buy",IF(F181&lt;0,"sell","keep"))</f>
        <v>keep</v>
      </c>
      <c r="I181" t="str">
        <f t="shared" si="22"/>
        <v>sell</v>
      </c>
      <c r="J181">
        <f t="shared" si="21"/>
        <v>1</v>
      </c>
      <c r="K181" t="str">
        <f t="shared" si="23"/>
        <v>keep</v>
      </c>
      <c r="L181">
        <f t="shared" si="18"/>
        <v>0</v>
      </c>
      <c r="M181">
        <f t="shared" si="19"/>
        <v>0</v>
      </c>
      <c r="N181">
        <f t="shared" si="24"/>
        <v>0</v>
      </c>
      <c r="O181">
        <f t="shared" si="25"/>
        <v>1077.8144151733429</v>
      </c>
      <c r="P181">
        <f t="shared" si="26"/>
        <v>0</v>
      </c>
      <c r="Q181">
        <f>Q180+(Q180*E181/100)</f>
        <v>1196.1925268076275</v>
      </c>
    </row>
    <row r="182" spans="1:17" x14ac:dyDescent="0.25">
      <c r="A182" s="1">
        <v>45321</v>
      </c>
      <c r="B182">
        <v>-0.67945420782326005</v>
      </c>
      <c r="C182">
        <v>0.552259162390345</v>
      </c>
      <c r="D182">
        <v>0.61619158261077001</v>
      </c>
      <c r="E182">
        <v>0.33837508335305899</v>
      </c>
      <c r="F182" s="3">
        <v>0.204047009419939</v>
      </c>
      <c r="G182">
        <f t="shared" si="20"/>
        <v>8.0295759128889893E-2</v>
      </c>
      <c r="H182" t="str">
        <f>IF(F182&gt;$T$2,"buy",IF(F182&lt;0,"sell","keep"))</f>
        <v>buy</v>
      </c>
      <c r="I182" t="str">
        <f t="shared" si="22"/>
        <v>buy</v>
      </c>
      <c r="J182">
        <f t="shared" si="21"/>
        <v>1</v>
      </c>
      <c r="K182" t="str">
        <f t="shared" si="23"/>
        <v>buy</v>
      </c>
      <c r="L182">
        <f t="shared" si="18"/>
        <v>1</v>
      </c>
      <c r="M182">
        <f t="shared" si="19"/>
        <v>0</v>
      </c>
      <c r="N182">
        <f t="shared" si="24"/>
        <v>1</v>
      </c>
      <c r="O182">
        <f t="shared" si="25"/>
        <v>0</v>
      </c>
      <c r="P182">
        <f t="shared" si="26"/>
        <v>1077.8144151733429</v>
      </c>
      <c r="Q182">
        <f>Q181+(Q181*E182/100)</f>
        <v>1200.2401442672758</v>
      </c>
    </row>
    <row r="183" spans="1:17" x14ac:dyDescent="0.25">
      <c r="A183" s="1">
        <v>45322</v>
      </c>
      <c r="B183">
        <v>-1.94241756551911</v>
      </c>
      <c r="C183">
        <v>-0.74048374382195103</v>
      </c>
      <c r="D183">
        <v>-0.315307216901905</v>
      </c>
      <c r="E183">
        <v>8.0295759128889893E-2</v>
      </c>
      <c r="F183" s="3">
        <v>-2.0838813867142699E-2</v>
      </c>
      <c r="G183">
        <f t="shared" si="20"/>
        <v>-2.1180977075440701</v>
      </c>
      <c r="H183" t="str">
        <f>IF(F183&gt;$T$2,"buy",IF(F183&lt;0,"sell","keep"))</f>
        <v>sell</v>
      </c>
      <c r="I183" t="str">
        <f t="shared" si="22"/>
        <v>sell</v>
      </c>
      <c r="J183">
        <f t="shared" si="21"/>
        <v>1</v>
      </c>
      <c r="K183" t="str">
        <f t="shared" si="23"/>
        <v>sell</v>
      </c>
      <c r="L183">
        <f t="shared" si="18"/>
        <v>0</v>
      </c>
      <c r="M183">
        <f t="shared" si="19"/>
        <v>1</v>
      </c>
      <c r="N183">
        <f t="shared" si="24"/>
        <v>1</v>
      </c>
      <c r="O183">
        <f t="shared" si="25"/>
        <v>1078.6798544400069</v>
      </c>
      <c r="P183">
        <f t="shared" si="26"/>
        <v>0</v>
      </c>
      <c r="Q183">
        <f>Q182+(Q182*E183/100)</f>
        <v>1201.2038862024849</v>
      </c>
    </row>
    <row r="184" spans="1:17" x14ac:dyDescent="0.25">
      <c r="A184" s="1">
        <v>45323</v>
      </c>
      <c r="B184">
        <v>1.21064243884987</v>
      </c>
      <c r="C184">
        <v>0.943618296407988</v>
      </c>
      <c r="D184">
        <v>1.94038036084209</v>
      </c>
      <c r="E184">
        <v>-2.1180977075440701</v>
      </c>
      <c r="F184" s="3">
        <v>0.38325738158210398</v>
      </c>
      <c r="G184">
        <f t="shared" si="20"/>
        <v>0.114751686274239</v>
      </c>
      <c r="H184" t="str">
        <f>IF(F184&gt;$T$2,"buy",IF(F184&lt;0,"sell","keep"))</f>
        <v>buy</v>
      </c>
      <c r="I184" t="str">
        <f t="shared" si="22"/>
        <v>buy</v>
      </c>
      <c r="J184">
        <f t="shared" si="21"/>
        <v>1</v>
      </c>
      <c r="K184" t="str">
        <f t="shared" si="23"/>
        <v>buy</v>
      </c>
      <c r="L184">
        <f t="shared" si="18"/>
        <v>1</v>
      </c>
      <c r="M184">
        <f t="shared" si="19"/>
        <v>0</v>
      </c>
      <c r="N184">
        <f t="shared" si="24"/>
        <v>1</v>
      </c>
      <c r="O184">
        <f t="shared" si="25"/>
        <v>0</v>
      </c>
      <c r="P184">
        <f t="shared" si="26"/>
        <v>1078.6798544400069</v>
      </c>
      <c r="Q184">
        <f>Q183+(Q183*E184/100)</f>
        <v>1175.7612142258997</v>
      </c>
    </row>
    <row r="185" spans="1:17" x14ac:dyDescent="0.25">
      <c r="A185" s="1">
        <v>45324</v>
      </c>
      <c r="B185">
        <v>1.71821561237823</v>
      </c>
      <c r="C185">
        <v>-0.38175131864774903</v>
      </c>
      <c r="D185">
        <v>0.64444321339149901</v>
      </c>
      <c r="E185">
        <v>0.114751686274239</v>
      </c>
      <c r="F185" s="3">
        <v>0.13467221529218301</v>
      </c>
      <c r="G185">
        <f t="shared" si="20"/>
        <v>-0.40936768496688802</v>
      </c>
      <c r="H185" t="str">
        <f>IF(F185&gt;$T$2,"buy",IF(F185&lt;0,"sell","keep"))</f>
        <v>keep</v>
      </c>
      <c r="I185" t="str">
        <f t="shared" si="22"/>
        <v>sell</v>
      </c>
      <c r="J185">
        <f t="shared" si="21"/>
        <v>0</v>
      </c>
      <c r="K185" t="str">
        <f t="shared" si="23"/>
        <v>sell</v>
      </c>
      <c r="L185">
        <f t="shared" si="18"/>
        <v>0</v>
      </c>
      <c r="M185">
        <f t="shared" si="19"/>
        <v>1</v>
      </c>
      <c r="N185">
        <f t="shared" si="24"/>
        <v>0</v>
      </c>
      <c r="O185">
        <f t="shared" si="25"/>
        <v>1079.9176577624773</v>
      </c>
      <c r="P185">
        <f t="shared" si="26"/>
        <v>0</v>
      </c>
      <c r="Q185">
        <f>Q184+(Q184*E185/100)</f>
        <v>1177.1104200457823</v>
      </c>
    </row>
    <row r="186" spans="1:17" x14ac:dyDescent="0.25">
      <c r="A186" s="1">
        <v>45327</v>
      </c>
      <c r="B186">
        <v>-0.16829257978288001</v>
      </c>
      <c r="C186">
        <v>-1.58686471503631</v>
      </c>
      <c r="D186">
        <v>1.5355352724631199</v>
      </c>
      <c r="E186">
        <v>-0.40936768496688802</v>
      </c>
      <c r="F186" s="3">
        <v>2.59113071648879E-2</v>
      </c>
      <c r="G186">
        <f t="shared" si="20"/>
        <v>0.756331319311498</v>
      </c>
      <c r="H186" t="str">
        <f>IF(F186&gt;$T$2,"buy",IF(F186&lt;0,"sell","keep"))</f>
        <v>keep</v>
      </c>
      <c r="I186" t="str">
        <f t="shared" si="22"/>
        <v>sell</v>
      </c>
      <c r="J186">
        <f t="shared" si="21"/>
        <v>1</v>
      </c>
      <c r="K186" t="str">
        <f t="shared" si="23"/>
        <v>keep</v>
      </c>
      <c r="L186">
        <f t="shared" si="18"/>
        <v>0</v>
      </c>
      <c r="M186">
        <f t="shared" si="19"/>
        <v>0</v>
      </c>
      <c r="N186">
        <f t="shared" si="24"/>
        <v>0</v>
      </c>
      <c r="O186">
        <f t="shared" si="25"/>
        <v>1079.9176577624773</v>
      </c>
      <c r="P186">
        <f t="shared" si="26"/>
        <v>0</v>
      </c>
      <c r="Q186">
        <f>Q185+(Q185*E186/100)</f>
        <v>1172.2917103697368</v>
      </c>
    </row>
    <row r="187" spans="1:17" x14ac:dyDescent="0.25">
      <c r="A187" s="1">
        <v>45328</v>
      </c>
      <c r="B187">
        <v>-0.22885655114353001</v>
      </c>
      <c r="C187">
        <v>3.7266257107628702</v>
      </c>
      <c r="D187">
        <v>1.1853337614161099</v>
      </c>
      <c r="E187">
        <v>0.756331319311498</v>
      </c>
      <c r="F187" s="3">
        <v>0.56335076580645504</v>
      </c>
      <c r="G187">
        <f t="shared" si="20"/>
        <v>-0.65273676143521298</v>
      </c>
      <c r="H187" t="str">
        <f>IF(F187&gt;$T$2,"buy",IF(F187&lt;0,"sell","keep"))</f>
        <v>buy</v>
      </c>
      <c r="I187" t="str">
        <f t="shared" si="22"/>
        <v>buy</v>
      </c>
      <c r="J187">
        <f t="shared" si="21"/>
        <v>0</v>
      </c>
      <c r="K187" t="str">
        <f t="shared" si="23"/>
        <v>buy</v>
      </c>
      <c r="L187">
        <f t="shared" si="18"/>
        <v>1</v>
      </c>
      <c r="M187">
        <f t="shared" si="19"/>
        <v>0</v>
      </c>
      <c r="N187">
        <f t="shared" si="24"/>
        <v>0</v>
      </c>
      <c r="O187">
        <f t="shared" si="25"/>
        <v>0</v>
      </c>
      <c r="P187">
        <f t="shared" si="26"/>
        <v>1079.9176577624773</v>
      </c>
      <c r="Q187">
        <f>Q186+(Q186*E187/100)</f>
        <v>1181.1581197289556</v>
      </c>
    </row>
    <row r="188" spans="1:17" x14ac:dyDescent="0.25">
      <c r="A188" s="1">
        <v>45329</v>
      </c>
      <c r="B188">
        <v>1.03762954809021</v>
      </c>
      <c r="C188">
        <v>0.30562178654160999</v>
      </c>
      <c r="D188">
        <v>0.992556065316474</v>
      </c>
      <c r="E188">
        <v>-0.65273676143521298</v>
      </c>
      <c r="F188" s="3">
        <v>0.21954283297581001</v>
      </c>
      <c r="G188">
        <f t="shared" si="20"/>
        <v>-1.19907294581724</v>
      </c>
      <c r="H188" t="str">
        <f>IF(F188&gt;$T$2,"buy",IF(F188&lt;0,"sell","keep"))</f>
        <v>buy</v>
      </c>
      <c r="I188" t="str">
        <f t="shared" si="22"/>
        <v>buy</v>
      </c>
      <c r="J188">
        <f t="shared" si="21"/>
        <v>0</v>
      </c>
      <c r="K188" t="str">
        <f t="shared" si="23"/>
        <v>keep</v>
      </c>
      <c r="L188">
        <f t="shared" si="18"/>
        <v>0</v>
      </c>
      <c r="M188">
        <f t="shared" si="19"/>
        <v>0</v>
      </c>
      <c r="N188">
        <f t="shared" si="24"/>
        <v>0</v>
      </c>
      <c r="O188">
        <f t="shared" si="25"/>
        <v>0</v>
      </c>
      <c r="P188">
        <f t="shared" si="26"/>
        <v>1088.08541323091</v>
      </c>
      <c r="Q188">
        <f>Q187+(Q187*E188/100)</f>
        <v>1173.4482664708078</v>
      </c>
    </row>
    <row r="189" spans="1:17" x14ac:dyDescent="0.25">
      <c r="A189" s="1">
        <v>45330</v>
      </c>
      <c r="B189">
        <v>0.15826245055878799</v>
      </c>
      <c r="C189">
        <v>-0.67893525251826403</v>
      </c>
      <c r="D189">
        <v>-0.12571972933973399</v>
      </c>
      <c r="E189">
        <v>-1.19907294581724</v>
      </c>
      <c r="F189" s="3">
        <v>4.8973027473099397E-3</v>
      </c>
      <c r="G189">
        <f t="shared" si="20"/>
        <v>-0.282639035703946</v>
      </c>
      <c r="H189" t="str">
        <f>IF(F189&gt;$T$2,"buy",IF(F189&lt;0,"sell","keep"))</f>
        <v>keep</v>
      </c>
      <c r="I189" t="str">
        <f t="shared" si="22"/>
        <v>sell</v>
      </c>
      <c r="J189">
        <f t="shared" si="21"/>
        <v>0</v>
      </c>
      <c r="K189" t="str">
        <f t="shared" si="23"/>
        <v>sell</v>
      </c>
      <c r="L189">
        <f t="shared" si="18"/>
        <v>0</v>
      </c>
      <c r="M189">
        <f t="shared" si="19"/>
        <v>1</v>
      </c>
      <c r="N189">
        <f t="shared" si="24"/>
        <v>0</v>
      </c>
      <c r="O189">
        <f t="shared" si="25"/>
        <v>1075.0384754134745</v>
      </c>
      <c r="P189">
        <f t="shared" si="26"/>
        <v>0</v>
      </c>
      <c r="Q189">
        <f>Q188+(Q188*E189/100)</f>
        <v>1159.3777657743949</v>
      </c>
    </row>
    <row r="190" spans="1:17" x14ac:dyDescent="0.25">
      <c r="A190" s="1">
        <v>45331</v>
      </c>
      <c r="B190">
        <v>1.0079206078693299</v>
      </c>
      <c r="C190">
        <v>1.3091765083081</v>
      </c>
      <c r="D190">
        <v>-0.406183497575063</v>
      </c>
      <c r="E190">
        <v>-0.282639035703946</v>
      </c>
      <c r="F190" s="3">
        <v>0.16249204684051899</v>
      </c>
      <c r="G190">
        <f t="shared" si="20"/>
        <v>2.1340476388261398</v>
      </c>
      <c r="H190" t="str">
        <f>IF(F190&gt;$T$2,"buy",IF(F190&lt;0,"sell","keep"))</f>
        <v>buy</v>
      </c>
      <c r="I190" t="str">
        <f t="shared" si="22"/>
        <v>buy</v>
      </c>
      <c r="J190">
        <f t="shared" si="21"/>
        <v>1</v>
      </c>
      <c r="K190" t="str">
        <f t="shared" si="23"/>
        <v>buy</v>
      </c>
      <c r="L190">
        <f t="shared" si="18"/>
        <v>1</v>
      </c>
      <c r="M190">
        <f t="shared" si="19"/>
        <v>0</v>
      </c>
      <c r="N190">
        <f t="shared" si="24"/>
        <v>1</v>
      </c>
      <c r="O190">
        <f t="shared" si="25"/>
        <v>0</v>
      </c>
      <c r="P190">
        <f t="shared" si="26"/>
        <v>1075.0384754134745</v>
      </c>
      <c r="Q190">
        <f>Q189+(Q189*E190/100)</f>
        <v>1156.1009116370442</v>
      </c>
    </row>
    <row r="191" spans="1:17" x14ac:dyDescent="0.25">
      <c r="A191" s="1">
        <v>45334</v>
      </c>
      <c r="B191">
        <v>-0.44398273564781798</v>
      </c>
      <c r="C191">
        <v>4.5299323734604401E-2</v>
      </c>
      <c r="D191">
        <v>-0.58019278978630395</v>
      </c>
      <c r="E191">
        <v>2.1340476388261398</v>
      </c>
      <c r="F191" s="3">
        <v>1.8018540666987399E-2</v>
      </c>
      <c r="G191">
        <f t="shared" si="20"/>
        <v>1.6329491109678899E-2</v>
      </c>
      <c r="H191" t="str">
        <f>IF(F191&gt;$T$2,"buy",IF(F191&lt;0,"sell","keep"))</f>
        <v>keep</v>
      </c>
      <c r="I191" t="str">
        <f t="shared" si="22"/>
        <v>sell</v>
      </c>
      <c r="J191">
        <f t="shared" si="21"/>
        <v>1</v>
      </c>
      <c r="K191" t="str">
        <f t="shared" si="23"/>
        <v>sell</v>
      </c>
      <c r="L191">
        <f t="shared" si="18"/>
        <v>0</v>
      </c>
      <c r="M191">
        <f t="shared" si="19"/>
        <v>1</v>
      </c>
      <c r="N191">
        <f t="shared" si="24"/>
        <v>1</v>
      </c>
      <c r="O191">
        <f t="shared" si="25"/>
        <v>1097.9803086145084</v>
      </c>
      <c r="P191">
        <f t="shared" si="26"/>
        <v>0</v>
      </c>
      <c r="Q191">
        <f>Q190+(Q190*E191/100)</f>
        <v>1180.7726558442821</v>
      </c>
    </row>
    <row r="192" spans="1:17" x14ac:dyDescent="0.25">
      <c r="A192" s="1">
        <v>45335</v>
      </c>
      <c r="B192">
        <v>-1.57828998543237</v>
      </c>
      <c r="C192">
        <v>-0.80074636553408796</v>
      </c>
      <c r="D192">
        <v>0.12711006821481899</v>
      </c>
      <c r="E192">
        <v>1.6329491109678899E-2</v>
      </c>
      <c r="F192" s="3">
        <v>-3.62180076121301E-2</v>
      </c>
      <c r="G192">
        <f t="shared" si="20"/>
        <v>0</v>
      </c>
      <c r="H192" t="str">
        <f>IF(F192&gt;$T$2,"buy",IF(F192&lt;0,"sell","keep"))</f>
        <v>sell</v>
      </c>
      <c r="I192" t="str">
        <f t="shared" si="22"/>
        <v>sell</v>
      </c>
      <c r="J192">
        <f t="shared" si="21"/>
        <v>0</v>
      </c>
      <c r="K192" t="str">
        <f t="shared" si="23"/>
        <v>keep</v>
      </c>
      <c r="L192">
        <f t="shared" ref="L192:L255" si="27">IF(K192="buy",1,0)</f>
        <v>0</v>
      </c>
      <c r="M192">
        <f t="shared" ref="M192:M255" si="28">IF(K192="sell",1,0)</f>
        <v>0</v>
      </c>
      <c r="N192">
        <f t="shared" si="24"/>
        <v>0</v>
      </c>
      <c r="O192">
        <f t="shared" si="25"/>
        <v>1097.9803086145084</v>
      </c>
      <c r="P192">
        <f t="shared" si="26"/>
        <v>0</v>
      </c>
      <c r="Q192">
        <f>Q191+(Q191*E192/100)</f>
        <v>1180.9654700101437</v>
      </c>
    </row>
    <row r="193" spans="1:17" x14ac:dyDescent="0.25">
      <c r="A193" s="1">
        <v>45336</v>
      </c>
      <c r="B193">
        <v>1.1773067825641099</v>
      </c>
      <c r="C193">
        <v>0.51652750379787005</v>
      </c>
      <c r="D193">
        <v>0.65208000060366</v>
      </c>
      <c r="E193">
        <v>0</v>
      </c>
      <c r="F193" s="3">
        <v>0.20709306118076501</v>
      </c>
      <c r="G193">
        <f t="shared" si="20"/>
        <v>0.47331082807566799</v>
      </c>
      <c r="H193" t="str">
        <f>IF(F193&gt;$T$2,"buy",IF(F193&lt;0,"sell","keep"))</f>
        <v>buy</v>
      </c>
      <c r="I193" t="str">
        <f t="shared" si="22"/>
        <v>buy</v>
      </c>
      <c r="J193">
        <f t="shared" si="21"/>
        <v>1</v>
      </c>
      <c r="K193" t="str">
        <f t="shared" si="23"/>
        <v>buy</v>
      </c>
      <c r="L193">
        <f t="shared" si="27"/>
        <v>1</v>
      </c>
      <c r="M193">
        <f t="shared" si="28"/>
        <v>0</v>
      </c>
      <c r="N193">
        <f t="shared" si="24"/>
        <v>1</v>
      </c>
      <c r="O193">
        <f t="shared" si="25"/>
        <v>0</v>
      </c>
      <c r="P193">
        <f t="shared" si="26"/>
        <v>1097.9803086145084</v>
      </c>
      <c r="Q193">
        <f>Q192+(Q192*E193/100)</f>
        <v>1180.9654700101437</v>
      </c>
    </row>
    <row r="194" spans="1:17" x14ac:dyDescent="0.25">
      <c r="A194" s="1">
        <v>45337</v>
      </c>
      <c r="B194">
        <v>0.213896188947271</v>
      </c>
      <c r="C194">
        <v>2.45936953094545</v>
      </c>
      <c r="D194">
        <v>1.24412276839034</v>
      </c>
      <c r="E194">
        <v>0.47331082807566799</v>
      </c>
      <c r="F194" s="3">
        <v>0.40838426049335602</v>
      </c>
      <c r="G194">
        <f t="shared" ref="G194:G257" si="29">E195</f>
        <v>0.64977474988128203</v>
      </c>
      <c r="H194" t="str">
        <f>IF(F194&gt;$T$2,"buy",IF(F194&lt;0,"sell","keep"))</f>
        <v>buy</v>
      </c>
      <c r="I194" t="str">
        <f t="shared" si="22"/>
        <v>buy</v>
      </c>
      <c r="J194">
        <f t="shared" ref="J194:J257" si="30">IF(OR(AND(F194&lt;0,G194&lt;0),AND(F194&gt;0,G194&gt;0)),1,0)</f>
        <v>1</v>
      </c>
      <c r="K194" t="str">
        <f t="shared" si="23"/>
        <v>keep</v>
      </c>
      <c r="L194">
        <f t="shared" si="27"/>
        <v>0</v>
      </c>
      <c r="M194">
        <f t="shared" si="28"/>
        <v>0</v>
      </c>
      <c r="N194">
        <f t="shared" si="24"/>
        <v>0</v>
      </c>
      <c r="O194">
        <f t="shared" si="25"/>
        <v>0</v>
      </c>
      <c r="P194">
        <f t="shared" si="26"/>
        <v>1097.9803086145084</v>
      </c>
      <c r="Q194">
        <f>Q193+(Q193*E194/100)</f>
        <v>1186.5551074555365</v>
      </c>
    </row>
    <row r="195" spans="1:17" x14ac:dyDescent="0.25">
      <c r="A195" s="1">
        <v>45338</v>
      </c>
      <c r="B195">
        <v>-0.89511786625141498</v>
      </c>
      <c r="C195">
        <v>0.68580622395875102</v>
      </c>
      <c r="D195">
        <v>0.509671862177563</v>
      </c>
      <c r="E195">
        <v>0.64977474988128203</v>
      </c>
      <c r="F195" s="3">
        <v>0.15629472529107899</v>
      </c>
      <c r="G195">
        <f t="shared" si="29"/>
        <v>3.2084646524799199E-2</v>
      </c>
      <c r="H195" t="str">
        <f>IF(F195&gt;$T$2,"buy",IF(F195&lt;0,"sell","keep"))</f>
        <v>buy</v>
      </c>
      <c r="I195" t="str">
        <f t="shared" ref="I195:I258" si="31">IF(F195&gt;$T$2,"buy",IF(F195&lt;$T$3,"sell","keep"))</f>
        <v>buy</v>
      </c>
      <c r="J195">
        <f t="shared" si="30"/>
        <v>1</v>
      </c>
      <c r="K195" t="str">
        <f t="shared" ref="K195:K258" si="32">IF(AND(I195="sell",P194&lt;&gt;0),"sell",IF(AND(I195="buy",O194&lt;&gt;0),"buy","keep"))</f>
        <v>keep</v>
      </c>
      <c r="L195">
        <f t="shared" si="27"/>
        <v>0</v>
      </c>
      <c r="M195">
        <f t="shared" si="28"/>
        <v>0</v>
      </c>
      <c r="N195">
        <f t="shared" ref="N195:N258" si="33">IF(AND(J195=1,OR(L195=1,M195=1)),1,0)</f>
        <v>0</v>
      </c>
      <c r="O195">
        <f t="shared" si="25"/>
        <v>0</v>
      </c>
      <c r="P195">
        <f t="shared" si="26"/>
        <v>1103.1771683053196</v>
      </c>
      <c r="Q195">
        <f>Q194+(Q194*E195/100)</f>
        <v>1194.2650429372093</v>
      </c>
    </row>
    <row r="196" spans="1:17" x14ac:dyDescent="0.25">
      <c r="A196" s="1">
        <v>45343</v>
      </c>
      <c r="B196">
        <v>-0.38293099105114398</v>
      </c>
      <c r="C196">
        <v>0.802828516213827</v>
      </c>
      <c r="D196">
        <v>-0.34708455945231498</v>
      </c>
      <c r="E196">
        <v>3.2084646524799199E-2</v>
      </c>
      <c r="F196" s="3">
        <v>0.111104046196941</v>
      </c>
      <c r="G196">
        <f t="shared" si="29"/>
        <v>2.8388199319131502</v>
      </c>
      <c r="H196" t="str">
        <f>IF(F196&gt;$T$2,"buy",IF(F196&lt;0,"sell","keep"))</f>
        <v>keep</v>
      </c>
      <c r="I196" t="str">
        <f t="shared" si="31"/>
        <v>sell</v>
      </c>
      <c r="J196">
        <f t="shared" si="30"/>
        <v>1</v>
      </c>
      <c r="K196" t="str">
        <f t="shared" si="32"/>
        <v>sell</v>
      </c>
      <c r="L196">
        <f t="shared" si="27"/>
        <v>0</v>
      </c>
      <c r="M196">
        <f t="shared" si="28"/>
        <v>1</v>
      </c>
      <c r="N196">
        <f t="shared" si="33"/>
        <v>1</v>
      </c>
      <c r="O196">
        <f t="shared" ref="O196:O259" si="34">IF(K196="sell",P195+(P195*E196/100),IF(K196="buy",0,O195))</f>
        <v>1103.5311188003127</v>
      </c>
      <c r="P196">
        <f t="shared" ref="P196:P259" si="35">IF(K196="buy",O195,IF(K196="sell",0,IF(AND(K196="keep",P195&lt;&gt;0),P195+(P195*E195/100),P195)))</f>
        <v>0</v>
      </c>
      <c r="Q196">
        <f>Q195+(Q195*E196/100)</f>
        <v>1194.6482186548049</v>
      </c>
    </row>
    <row r="197" spans="1:17" x14ac:dyDescent="0.25">
      <c r="A197" s="1">
        <v>45344</v>
      </c>
      <c r="B197">
        <v>3.0081341330768998</v>
      </c>
      <c r="C197">
        <v>1.7225627380689199</v>
      </c>
      <c r="D197">
        <v>0.91926321193551697</v>
      </c>
      <c r="E197">
        <v>2.8388199319131502</v>
      </c>
      <c r="F197" s="3">
        <v>0.39674204280110298</v>
      </c>
      <c r="G197">
        <f t="shared" si="29"/>
        <v>0.74858819738803295</v>
      </c>
      <c r="H197" t="str">
        <f>IF(F197&gt;$T$2,"buy",IF(F197&lt;0,"sell","keep"))</f>
        <v>buy</v>
      </c>
      <c r="I197" t="str">
        <f t="shared" si="31"/>
        <v>buy</v>
      </c>
      <c r="J197">
        <f t="shared" si="30"/>
        <v>1</v>
      </c>
      <c r="K197" t="str">
        <f t="shared" si="32"/>
        <v>buy</v>
      </c>
      <c r="L197">
        <f t="shared" si="27"/>
        <v>1</v>
      </c>
      <c r="M197">
        <f t="shared" si="28"/>
        <v>0</v>
      </c>
      <c r="N197">
        <f t="shared" si="33"/>
        <v>1</v>
      </c>
      <c r="O197">
        <f t="shared" si="34"/>
        <v>0</v>
      </c>
      <c r="P197">
        <f t="shared" si="35"/>
        <v>1103.5311188003127</v>
      </c>
      <c r="Q197">
        <f>Q196+(Q196*E197/100)</f>
        <v>1228.5621304022229</v>
      </c>
    </row>
    <row r="198" spans="1:17" x14ac:dyDescent="0.25">
      <c r="A198" s="1">
        <v>45345</v>
      </c>
      <c r="B198">
        <v>-0.372624074053584</v>
      </c>
      <c r="C198">
        <v>0.118568602241375</v>
      </c>
      <c r="D198">
        <v>0.75813769009274101</v>
      </c>
      <c r="E198">
        <v>0.74858819738803295</v>
      </c>
      <c r="F198" s="3">
        <v>0.15280804512223101</v>
      </c>
      <c r="G198">
        <f t="shared" si="29"/>
        <v>0.23219892440846601</v>
      </c>
      <c r="H198" t="str">
        <f>IF(F198&gt;$T$2,"buy",IF(F198&lt;0,"sell","keep"))</f>
        <v>buy</v>
      </c>
      <c r="I198" t="str">
        <f t="shared" si="31"/>
        <v>buy</v>
      </c>
      <c r="J198">
        <f t="shared" si="30"/>
        <v>1</v>
      </c>
      <c r="K198" t="str">
        <f t="shared" si="32"/>
        <v>keep</v>
      </c>
      <c r="L198">
        <f t="shared" si="27"/>
        <v>0</v>
      </c>
      <c r="M198">
        <f t="shared" si="28"/>
        <v>0</v>
      </c>
      <c r="N198">
        <f t="shared" si="33"/>
        <v>0</v>
      </c>
      <c r="O198">
        <f t="shared" si="34"/>
        <v>0</v>
      </c>
      <c r="P198">
        <f t="shared" si="35"/>
        <v>1134.8583801556802</v>
      </c>
      <c r="Q198">
        <f>Q197+(Q197*E198/100)</f>
        <v>1237.7590015079929</v>
      </c>
    </row>
    <row r="199" spans="1:17" x14ac:dyDescent="0.25">
      <c r="A199" s="1">
        <v>45348</v>
      </c>
      <c r="B199">
        <v>-2.3856561850232799E-2</v>
      </c>
      <c r="C199">
        <v>-0.58539098018049995</v>
      </c>
      <c r="D199">
        <v>0.40428301922292798</v>
      </c>
      <c r="E199">
        <v>0.23219892440846601</v>
      </c>
      <c r="F199" s="3">
        <v>5.7033319313840598E-2</v>
      </c>
      <c r="G199">
        <f t="shared" si="29"/>
        <v>3.0885499389810001E-2</v>
      </c>
      <c r="H199" t="str">
        <f>IF(F199&gt;$T$2,"buy",IF(F199&lt;0,"sell","keep"))</f>
        <v>keep</v>
      </c>
      <c r="I199" t="str">
        <f t="shared" si="31"/>
        <v>sell</v>
      </c>
      <c r="J199">
        <f t="shared" si="30"/>
        <v>1</v>
      </c>
      <c r="K199" t="str">
        <f t="shared" si="32"/>
        <v>sell</v>
      </c>
      <c r="L199">
        <f t="shared" si="27"/>
        <v>0</v>
      </c>
      <c r="M199">
        <f t="shared" si="28"/>
        <v>1</v>
      </c>
      <c r="N199">
        <f t="shared" si="33"/>
        <v>1</v>
      </c>
      <c r="O199">
        <f t="shared" si="34"/>
        <v>1137.493509107961</v>
      </c>
      <c r="P199">
        <f t="shared" si="35"/>
        <v>0</v>
      </c>
      <c r="Q199">
        <f>Q198+(Q198*E199/100)</f>
        <v>1240.6330645962635</v>
      </c>
    </row>
    <row r="200" spans="1:17" x14ac:dyDescent="0.25">
      <c r="A200" s="1">
        <v>45349</v>
      </c>
      <c r="B200">
        <v>0.21033853144214401</v>
      </c>
      <c r="C200">
        <v>-3.1478804435847101E-2</v>
      </c>
      <c r="D200">
        <v>0.100688926156022</v>
      </c>
      <c r="E200">
        <v>3.0885499389810001E-2</v>
      </c>
      <c r="F200" s="3">
        <v>9.9341349616663396E-2</v>
      </c>
      <c r="G200">
        <f t="shared" si="29"/>
        <v>1.00355442402233</v>
      </c>
      <c r="H200" t="str">
        <f>IF(F200&gt;$T$2,"buy",IF(F200&lt;0,"sell","keep"))</f>
        <v>keep</v>
      </c>
      <c r="I200" t="str">
        <f t="shared" si="31"/>
        <v>sell</v>
      </c>
      <c r="J200">
        <f t="shared" si="30"/>
        <v>1</v>
      </c>
      <c r="K200" t="str">
        <f t="shared" si="32"/>
        <v>keep</v>
      </c>
      <c r="L200">
        <f t="shared" si="27"/>
        <v>0</v>
      </c>
      <c r="M200">
        <f t="shared" si="28"/>
        <v>0</v>
      </c>
      <c r="N200">
        <f t="shared" si="33"/>
        <v>0</v>
      </c>
      <c r="O200">
        <f t="shared" si="34"/>
        <v>1137.493509107961</v>
      </c>
      <c r="P200">
        <f t="shared" si="35"/>
        <v>0</v>
      </c>
      <c r="Q200">
        <f>Q199+(Q199*E200/100)</f>
        <v>1241.016240313859</v>
      </c>
    </row>
    <row r="201" spans="1:17" x14ac:dyDescent="0.25">
      <c r="A201" s="1">
        <v>45350</v>
      </c>
      <c r="B201">
        <v>-0.53725729466379502</v>
      </c>
      <c r="C201">
        <v>1.4388527690645401</v>
      </c>
      <c r="D201">
        <v>-0.55310877008294401</v>
      </c>
      <c r="E201">
        <v>1.00355442402233</v>
      </c>
      <c r="F201" s="3">
        <v>0.197653958645192</v>
      </c>
      <c r="G201">
        <f t="shared" si="29"/>
        <v>0.51972178651062895</v>
      </c>
      <c r="H201" t="str">
        <f>IF(F201&gt;$T$2,"buy",IF(F201&lt;0,"sell","keep"))</f>
        <v>buy</v>
      </c>
      <c r="I201" t="str">
        <f t="shared" si="31"/>
        <v>buy</v>
      </c>
      <c r="J201">
        <f t="shared" si="30"/>
        <v>1</v>
      </c>
      <c r="K201" t="str">
        <f t="shared" si="32"/>
        <v>buy</v>
      </c>
      <c r="L201">
        <f t="shared" si="27"/>
        <v>1</v>
      </c>
      <c r="M201">
        <f t="shared" si="28"/>
        <v>0</v>
      </c>
      <c r="N201">
        <f t="shared" si="33"/>
        <v>1</v>
      </c>
      <c r="O201">
        <f t="shared" si="34"/>
        <v>0</v>
      </c>
      <c r="P201">
        <f t="shared" si="35"/>
        <v>1137.493509107961</v>
      </c>
      <c r="Q201">
        <f>Q200+(Q200*E201/100)</f>
        <v>1253.4705136963644</v>
      </c>
    </row>
    <row r="202" spans="1:17" x14ac:dyDescent="0.25">
      <c r="A202" s="1">
        <v>45351</v>
      </c>
      <c r="B202">
        <v>0.94743690382947898</v>
      </c>
      <c r="C202">
        <v>-0.52747923706175603</v>
      </c>
      <c r="D202">
        <v>-1.09550159411133</v>
      </c>
      <c r="E202">
        <v>0.51972178651062895</v>
      </c>
      <c r="F202" s="3">
        <v>-2.5507096121265699E-2</v>
      </c>
      <c r="G202">
        <f t="shared" si="29"/>
        <v>-1.5815085789490599</v>
      </c>
      <c r="H202" t="str">
        <f>IF(F202&gt;$T$2,"buy",IF(F202&lt;0,"sell","keep"))</f>
        <v>sell</v>
      </c>
      <c r="I202" t="str">
        <f t="shared" si="31"/>
        <v>sell</v>
      </c>
      <c r="J202">
        <f t="shared" si="30"/>
        <v>1</v>
      </c>
      <c r="K202" t="str">
        <f t="shared" si="32"/>
        <v>sell</v>
      </c>
      <c r="L202">
        <f t="shared" si="27"/>
        <v>0</v>
      </c>
      <c r="M202">
        <f t="shared" si="28"/>
        <v>1</v>
      </c>
      <c r="N202">
        <f t="shared" si="33"/>
        <v>1</v>
      </c>
      <c r="O202">
        <f t="shared" si="34"/>
        <v>1143.4053106949393</v>
      </c>
      <c r="P202">
        <f t="shared" si="35"/>
        <v>0</v>
      </c>
      <c r="Q202">
        <f>Q201+(Q201*E202/100)</f>
        <v>1259.985073043531</v>
      </c>
    </row>
    <row r="203" spans="1:17" x14ac:dyDescent="0.25">
      <c r="A203" s="1">
        <v>45352</v>
      </c>
      <c r="B203">
        <v>1.43572769937296</v>
      </c>
      <c r="C203">
        <v>8.6889038993409606E-2</v>
      </c>
      <c r="D203">
        <v>1.6245343071285601</v>
      </c>
      <c r="E203">
        <v>-1.5815085789490599</v>
      </c>
      <c r="F203" s="3">
        <v>0.2464758292957</v>
      </c>
      <c r="G203">
        <f t="shared" si="29"/>
        <v>0.80345450437302401</v>
      </c>
      <c r="H203" t="str">
        <f>IF(F203&gt;$T$2,"buy",IF(F203&lt;0,"sell","keep"))</f>
        <v>buy</v>
      </c>
      <c r="I203" t="str">
        <f t="shared" si="31"/>
        <v>buy</v>
      </c>
      <c r="J203">
        <f t="shared" si="30"/>
        <v>1</v>
      </c>
      <c r="K203" t="str">
        <f t="shared" si="32"/>
        <v>buy</v>
      </c>
      <c r="L203">
        <f t="shared" si="27"/>
        <v>1</v>
      </c>
      <c r="M203">
        <f t="shared" si="28"/>
        <v>0</v>
      </c>
      <c r="N203">
        <f t="shared" si="33"/>
        <v>1</v>
      </c>
      <c r="O203">
        <f t="shared" si="34"/>
        <v>0</v>
      </c>
      <c r="P203">
        <f t="shared" si="35"/>
        <v>1143.4053106949393</v>
      </c>
      <c r="Q203">
        <f>Q202+(Q202*E203/100)</f>
        <v>1240.05830101987</v>
      </c>
    </row>
    <row r="204" spans="1:17" x14ac:dyDescent="0.25">
      <c r="A204" s="1">
        <v>45355</v>
      </c>
      <c r="B204">
        <v>-0.41758215959936101</v>
      </c>
      <c r="C204">
        <v>1.4225040634859101</v>
      </c>
      <c r="D204">
        <v>-1.0396268726667801</v>
      </c>
      <c r="E204">
        <v>0.80345450437302401</v>
      </c>
      <c r="F204" s="3">
        <v>0.16235672307339499</v>
      </c>
      <c r="G204">
        <f t="shared" si="29"/>
        <v>0.32188819452749701</v>
      </c>
      <c r="H204" t="str">
        <f>IF(F204&gt;$T$2,"buy",IF(F204&lt;0,"sell","keep"))</f>
        <v>buy</v>
      </c>
      <c r="I204" t="str">
        <f t="shared" si="31"/>
        <v>buy</v>
      </c>
      <c r="J204">
        <f t="shared" si="30"/>
        <v>1</v>
      </c>
      <c r="K204" t="str">
        <f t="shared" si="32"/>
        <v>keep</v>
      </c>
      <c r="L204">
        <f t="shared" si="27"/>
        <v>0</v>
      </c>
      <c r="M204">
        <f t="shared" si="28"/>
        <v>0</v>
      </c>
      <c r="N204">
        <f t="shared" si="33"/>
        <v>0</v>
      </c>
      <c r="O204">
        <f t="shared" si="34"/>
        <v>0</v>
      </c>
      <c r="P204">
        <f t="shared" si="35"/>
        <v>1125.3222576141397</v>
      </c>
      <c r="Q204">
        <f>Q203+(Q203*E204/100)</f>
        <v>1250.0216052962658</v>
      </c>
    </row>
    <row r="205" spans="1:17" x14ac:dyDescent="0.25">
      <c r="A205" s="1">
        <v>45356</v>
      </c>
      <c r="B205">
        <v>-1.80293353227694</v>
      </c>
      <c r="C205">
        <v>1.17647260921101</v>
      </c>
      <c r="D205">
        <v>1.1917419554486799</v>
      </c>
      <c r="E205">
        <v>0.32188819452749701</v>
      </c>
      <c r="F205" s="3">
        <v>0.299956699115976</v>
      </c>
      <c r="G205">
        <f t="shared" si="29"/>
        <v>1.52775870432941E-2</v>
      </c>
      <c r="H205" t="str">
        <f>IF(F205&gt;$T$2,"buy",IF(F205&lt;0,"sell","keep"))</f>
        <v>buy</v>
      </c>
      <c r="I205" t="str">
        <f t="shared" si="31"/>
        <v>buy</v>
      </c>
      <c r="J205">
        <f t="shared" si="30"/>
        <v>1</v>
      </c>
      <c r="K205" t="str">
        <f t="shared" si="32"/>
        <v>keep</v>
      </c>
      <c r="L205">
        <f t="shared" si="27"/>
        <v>0</v>
      </c>
      <c r="M205">
        <f t="shared" si="28"/>
        <v>0</v>
      </c>
      <c r="N205">
        <f t="shared" si="33"/>
        <v>0</v>
      </c>
      <c r="O205">
        <f t="shared" si="34"/>
        <v>0</v>
      </c>
      <c r="P205">
        <f t="shared" si="35"/>
        <v>1134.3637099816528</v>
      </c>
      <c r="Q205">
        <f>Q204+(Q204*E205/100)</f>
        <v>1254.0452772727576</v>
      </c>
    </row>
    <row r="206" spans="1:17" x14ac:dyDescent="0.25">
      <c r="A206" s="1">
        <v>45357</v>
      </c>
      <c r="B206">
        <v>0.66880124630757098</v>
      </c>
      <c r="C206">
        <v>0.57487317875386501</v>
      </c>
      <c r="D206">
        <v>1.0604916610163599</v>
      </c>
      <c r="E206">
        <v>1.52775870432941E-2</v>
      </c>
      <c r="F206" s="3">
        <v>0.25535897607900299</v>
      </c>
      <c r="G206">
        <f t="shared" si="29"/>
        <v>1.1304599825833399</v>
      </c>
      <c r="H206" t="str">
        <f>IF(F206&gt;$T$2,"buy",IF(F206&lt;0,"sell","keep"))</f>
        <v>buy</v>
      </c>
      <c r="I206" t="str">
        <f t="shared" si="31"/>
        <v>buy</v>
      </c>
      <c r="J206">
        <f t="shared" si="30"/>
        <v>1</v>
      </c>
      <c r="K206" t="str">
        <f t="shared" si="32"/>
        <v>keep</v>
      </c>
      <c r="L206">
        <f t="shared" si="27"/>
        <v>0</v>
      </c>
      <c r="M206">
        <f t="shared" si="28"/>
        <v>0</v>
      </c>
      <c r="N206">
        <f t="shared" si="33"/>
        <v>0</v>
      </c>
      <c r="O206">
        <f t="shared" si="34"/>
        <v>0</v>
      </c>
      <c r="P206">
        <f t="shared" si="35"/>
        <v>1138.015092847088</v>
      </c>
      <c r="Q206">
        <f>Q205+(Q205*E206/100)</f>
        <v>1254.2368651315553</v>
      </c>
    </row>
    <row r="207" spans="1:17" x14ac:dyDescent="0.25">
      <c r="A207" s="1">
        <v>45358</v>
      </c>
      <c r="B207">
        <v>1.5563692385340799</v>
      </c>
      <c r="C207">
        <v>0.36239174907988198</v>
      </c>
      <c r="D207">
        <v>-0.27061675469512902</v>
      </c>
      <c r="E207">
        <v>1.1304599825833399</v>
      </c>
      <c r="F207" s="3">
        <v>0.144790271038617</v>
      </c>
      <c r="G207">
        <f t="shared" si="29"/>
        <v>1.26888779757852</v>
      </c>
      <c r="H207" t="str">
        <f>IF(F207&gt;$T$2,"buy",IF(F207&lt;0,"sell","keep"))</f>
        <v>keep</v>
      </c>
      <c r="I207" t="str">
        <f t="shared" si="31"/>
        <v>sell</v>
      </c>
      <c r="J207">
        <f t="shared" si="30"/>
        <v>1</v>
      </c>
      <c r="K207" t="str">
        <f t="shared" si="32"/>
        <v>sell</v>
      </c>
      <c r="L207">
        <f t="shared" si="27"/>
        <v>0</v>
      </c>
      <c r="M207">
        <f t="shared" si="28"/>
        <v>1</v>
      </c>
      <c r="N207">
        <f t="shared" si="33"/>
        <v>1</v>
      </c>
      <c r="O207">
        <f t="shared" si="34"/>
        <v>1150.8798980674831</v>
      </c>
      <c r="P207">
        <f t="shared" si="35"/>
        <v>0</v>
      </c>
      <c r="Q207">
        <f>Q206+(Q206*E207/100)</f>
        <v>1268.4155109786752</v>
      </c>
    </row>
    <row r="208" spans="1:17" x14ac:dyDescent="0.25">
      <c r="A208" s="1">
        <v>45359</v>
      </c>
      <c r="B208">
        <v>-1.5277143120332899</v>
      </c>
      <c r="C208">
        <v>-0.58890063560791395</v>
      </c>
      <c r="D208">
        <v>-0.952539405060704</v>
      </c>
      <c r="E208">
        <v>1.26888779757852</v>
      </c>
      <c r="F208" s="3">
        <v>-8.9517787756245706E-2</v>
      </c>
      <c r="G208">
        <f t="shared" si="29"/>
        <v>-0.71599540427187403</v>
      </c>
      <c r="H208" t="str">
        <f>IF(F208&gt;$T$2,"buy",IF(F208&lt;0,"sell","keep"))</f>
        <v>sell</v>
      </c>
      <c r="I208" t="str">
        <f t="shared" si="31"/>
        <v>sell</v>
      </c>
      <c r="J208">
        <f t="shared" si="30"/>
        <v>1</v>
      </c>
      <c r="K208" t="str">
        <f t="shared" si="32"/>
        <v>keep</v>
      </c>
      <c r="L208">
        <f t="shared" si="27"/>
        <v>0</v>
      </c>
      <c r="M208">
        <f t="shared" si="28"/>
        <v>0</v>
      </c>
      <c r="N208">
        <f t="shared" si="33"/>
        <v>0</v>
      </c>
      <c r="O208">
        <f t="shared" si="34"/>
        <v>1150.8798980674831</v>
      </c>
      <c r="P208">
        <f t="shared" si="35"/>
        <v>0</v>
      </c>
      <c r="Q208">
        <f>Q207+(Q207*E208/100)</f>
        <v>1284.5102806200769</v>
      </c>
    </row>
    <row r="209" spans="1:17" x14ac:dyDescent="0.25">
      <c r="A209" s="1">
        <v>45362</v>
      </c>
      <c r="B209">
        <v>-0.37050783235845702</v>
      </c>
      <c r="C209">
        <v>1.49822825356886</v>
      </c>
      <c r="D209">
        <v>0.43611444330247101</v>
      </c>
      <c r="E209">
        <v>-0.71599540427187403</v>
      </c>
      <c r="F209" s="3">
        <v>0.290282056401299</v>
      </c>
      <c r="G209">
        <f t="shared" si="29"/>
        <v>2.0432749157178001</v>
      </c>
      <c r="H209" t="str">
        <f>IF(F209&gt;$T$2,"buy",IF(F209&lt;0,"sell","keep"))</f>
        <v>buy</v>
      </c>
      <c r="I209" t="str">
        <f t="shared" si="31"/>
        <v>buy</v>
      </c>
      <c r="J209">
        <f t="shared" si="30"/>
        <v>1</v>
      </c>
      <c r="K209" t="str">
        <f t="shared" si="32"/>
        <v>buy</v>
      </c>
      <c r="L209">
        <f t="shared" si="27"/>
        <v>1</v>
      </c>
      <c r="M209">
        <f t="shared" si="28"/>
        <v>0</v>
      </c>
      <c r="N209">
        <f t="shared" si="33"/>
        <v>1</v>
      </c>
      <c r="O209">
        <f t="shared" si="34"/>
        <v>0</v>
      </c>
      <c r="P209">
        <f t="shared" si="35"/>
        <v>1150.8798980674831</v>
      </c>
      <c r="Q209">
        <f>Q208+(Q208*E209/100)</f>
        <v>1275.3132460434374</v>
      </c>
    </row>
    <row r="210" spans="1:17" x14ac:dyDescent="0.25">
      <c r="A210" s="1">
        <v>45363</v>
      </c>
      <c r="B210">
        <v>1.48966437155277</v>
      </c>
      <c r="C210">
        <v>0.42387554154705798</v>
      </c>
      <c r="D210">
        <v>0.71814760629900198</v>
      </c>
      <c r="E210">
        <v>2.0432749157178001</v>
      </c>
      <c r="F210" s="3">
        <v>0.25282616437331901</v>
      </c>
      <c r="G210">
        <f t="shared" si="29"/>
        <v>-0.41225360046723802</v>
      </c>
      <c r="H210" t="str">
        <f>IF(F210&gt;$T$2,"buy",IF(F210&lt;0,"sell","keep"))</f>
        <v>buy</v>
      </c>
      <c r="I210" t="str">
        <f t="shared" si="31"/>
        <v>buy</v>
      </c>
      <c r="J210">
        <f t="shared" si="30"/>
        <v>0</v>
      </c>
      <c r="K210" t="str">
        <f t="shared" si="32"/>
        <v>keep</v>
      </c>
      <c r="L210">
        <f t="shared" si="27"/>
        <v>0</v>
      </c>
      <c r="M210">
        <f t="shared" si="28"/>
        <v>0</v>
      </c>
      <c r="N210">
        <f t="shared" si="33"/>
        <v>0</v>
      </c>
      <c r="O210">
        <f t="shared" si="34"/>
        <v>0</v>
      </c>
      <c r="P210">
        <f t="shared" si="35"/>
        <v>1142.639650888631</v>
      </c>
      <c r="Q210">
        <f>Q209+(Q209*E210/100)</f>
        <v>1301.3714016966694</v>
      </c>
    </row>
    <row r="211" spans="1:17" x14ac:dyDescent="0.25">
      <c r="A211" s="1">
        <v>45364</v>
      </c>
      <c r="B211">
        <v>-0.82681688097061501</v>
      </c>
      <c r="C211">
        <v>1.02323437439617</v>
      </c>
      <c r="D211">
        <v>-0.58588500482213901</v>
      </c>
      <c r="E211">
        <v>-0.41225360046723802</v>
      </c>
      <c r="F211" s="3">
        <v>0.16554824587307199</v>
      </c>
      <c r="G211">
        <f t="shared" si="29"/>
        <v>0.54701924147244596</v>
      </c>
      <c r="H211" t="str">
        <f>IF(F211&gt;$T$2,"buy",IF(F211&lt;0,"sell","keep"))</f>
        <v>buy</v>
      </c>
      <c r="I211" t="str">
        <f t="shared" si="31"/>
        <v>buy</v>
      </c>
      <c r="J211">
        <f t="shared" si="30"/>
        <v>1</v>
      </c>
      <c r="K211" t="str">
        <f t="shared" si="32"/>
        <v>keep</v>
      </c>
      <c r="L211">
        <f t="shared" si="27"/>
        <v>0</v>
      </c>
      <c r="M211">
        <f t="shared" si="28"/>
        <v>0</v>
      </c>
      <c r="N211">
        <f t="shared" si="33"/>
        <v>0</v>
      </c>
      <c r="O211">
        <f t="shared" si="34"/>
        <v>0</v>
      </c>
      <c r="P211">
        <f t="shared" si="35"/>
        <v>1165.9869202522839</v>
      </c>
      <c r="Q211">
        <f>Q210+(Q210*E211/100)</f>
        <v>1296.0064512377239</v>
      </c>
    </row>
    <row r="212" spans="1:17" x14ac:dyDescent="0.25">
      <c r="A212" s="1">
        <v>45365</v>
      </c>
      <c r="B212">
        <v>-0.296982279970814</v>
      </c>
      <c r="C212">
        <v>-0.20004880938554401</v>
      </c>
      <c r="D212">
        <v>0.745010280469382</v>
      </c>
      <c r="E212">
        <v>0.54701924147244596</v>
      </c>
      <c r="F212" s="3">
        <v>0.13262343133465401</v>
      </c>
      <c r="G212">
        <f t="shared" si="29"/>
        <v>0.94103620487952999</v>
      </c>
      <c r="H212" t="str">
        <f>IF(F212&gt;$T$2,"buy",IF(F212&lt;0,"sell","keep"))</f>
        <v>keep</v>
      </c>
      <c r="I212" t="str">
        <f t="shared" si="31"/>
        <v>sell</v>
      </c>
      <c r="J212">
        <f t="shared" si="30"/>
        <v>1</v>
      </c>
      <c r="K212" t="str">
        <f t="shared" si="32"/>
        <v>sell</v>
      </c>
      <c r="L212">
        <f t="shared" si="27"/>
        <v>0</v>
      </c>
      <c r="M212">
        <f t="shared" si="28"/>
        <v>1</v>
      </c>
      <c r="N212">
        <f t="shared" si="33"/>
        <v>1</v>
      </c>
      <c r="O212">
        <f t="shared" si="34"/>
        <v>1172.3650930591159</v>
      </c>
      <c r="P212">
        <f t="shared" si="35"/>
        <v>0</v>
      </c>
      <c r="Q212">
        <f>Q211+(Q211*E212/100)</f>
        <v>1303.0958558967184</v>
      </c>
    </row>
    <row r="213" spans="1:17" x14ac:dyDescent="0.25">
      <c r="A213" s="1">
        <v>45366</v>
      </c>
      <c r="B213">
        <v>-1.14661514944897</v>
      </c>
      <c r="C213">
        <v>-1.20479317137661</v>
      </c>
      <c r="D213">
        <v>-1.83222674299816</v>
      </c>
      <c r="E213">
        <v>0.94103620487952999</v>
      </c>
      <c r="F213" s="3">
        <v>-0.22174624848123001</v>
      </c>
      <c r="G213">
        <f t="shared" si="29"/>
        <v>-0.26219050053132298</v>
      </c>
      <c r="H213" t="str">
        <f>IF(F213&gt;$T$2,"buy",IF(F213&lt;0,"sell","keep"))</f>
        <v>sell</v>
      </c>
      <c r="I213" t="str">
        <f t="shared" si="31"/>
        <v>sell</v>
      </c>
      <c r="J213">
        <f t="shared" si="30"/>
        <v>1</v>
      </c>
      <c r="K213" t="str">
        <f t="shared" si="32"/>
        <v>keep</v>
      </c>
      <c r="L213">
        <f t="shared" si="27"/>
        <v>0</v>
      </c>
      <c r="M213">
        <f t="shared" si="28"/>
        <v>0</v>
      </c>
      <c r="N213">
        <f t="shared" si="33"/>
        <v>0</v>
      </c>
      <c r="O213">
        <f t="shared" si="34"/>
        <v>1172.3650930591159</v>
      </c>
      <c r="P213">
        <f t="shared" si="35"/>
        <v>0</v>
      </c>
      <c r="Q213">
        <f>Q212+(Q212*E213/100)</f>
        <v>1315.3584596849912</v>
      </c>
    </row>
    <row r="214" spans="1:17" x14ac:dyDescent="0.25">
      <c r="A214" s="1">
        <v>45369</v>
      </c>
      <c r="B214">
        <v>0.99257235059593196</v>
      </c>
      <c r="C214">
        <v>-0.45277232051880101</v>
      </c>
      <c r="D214">
        <v>0.342946815676969</v>
      </c>
      <c r="E214">
        <v>-0.26219050053132298</v>
      </c>
      <c r="F214" s="3">
        <v>9.2669548131312507E-2</v>
      </c>
      <c r="G214">
        <f t="shared" si="29"/>
        <v>1.1245688268133101</v>
      </c>
      <c r="H214" t="str">
        <f>IF(F214&gt;$T$2,"buy",IF(F214&lt;0,"sell","keep"))</f>
        <v>keep</v>
      </c>
      <c r="I214" t="str">
        <f t="shared" si="31"/>
        <v>sell</v>
      </c>
      <c r="J214">
        <f t="shared" si="30"/>
        <v>1</v>
      </c>
      <c r="K214" t="str">
        <f t="shared" si="32"/>
        <v>keep</v>
      </c>
      <c r="L214">
        <f t="shared" si="27"/>
        <v>0</v>
      </c>
      <c r="M214">
        <f t="shared" si="28"/>
        <v>0</v>
      </c>
      <c r="N214">
        <f t="shared" si="33"/>
        <v>0</v>
      </c>
      <c r="O214">
        <f t="shared" si="34"/>
        <v>1172.3650930591159</v>
      </c>
      <c r="P214">
        <f t="shared" si="35"/>
        <v>0</v>
      </c>
      <c r="Q214">
        <f>Q213+(Q213*E214/100)</f>
        <v>1311.909714755762</v>
      </c>
    </row>
    <row r="215" spans="1:17" x14ac:dyDescent="0.25">
      <c r="A215" s="1">
        <v>45370</v>
      </c>
      <c r="B215">
        <v>0.26238213790239401</v>
      </c>
      <c r="C215">
        <v>0.13302085308126699</v>
      </c>
      <c r="D215">
        <v>0.65549096392245598</v>
      </c>
      <c r="E215">
        <v>1.1245688268133101</v>
      </c>
      <c r="F215" s="3">
        <v>0.189436805990846</v>
      </c>
      <c r="G215">
        <f t="shared" si="29"/>
        <v>-7.2206676702490896E-2</v>
      </c>
      <c r="H215" t="str">
        <f>IF(F215&gt;$T$2,"buy",IF(F215&lt;0,"sell","keep"))</f>
        <v>buy</v>
      </c>
      <c r="I215" t="str">
        <f t="shared" si="31"/>
        <v>buy</v>
      </c>
      <c r="J215">
        <f t="shared" si="30"/>
        <v>0</v>
      </c>
      <c r="K215" t="str">
        <f t="shared" si="32"/>
        <v>buy</v>
      </c>
      <c r="L215">
        <f t="shared" si="27"/>
        <v>1</v>
      </c>
      <c r="M215">
        <f t="shared" si="28"/>
        <v>0</v>
      </c>
      <c r="N215">
        <f t="shared" si="33"/>
        <v>0</v>
      </c>
      <c r="O215">
        <f t="shared" si="34"/>
        <v>0</v>
      </c>
      <c r="P215">
        <f t="shared" si="35"/>
        <v>1172.3650930591159</v>
      </c>
      <c r="Q215">
        <f>Q214+(Q214*E215/100)</f>
        <v>1326.6630424438408</v>
      </c>
    </row>
    <row r="216" spans="1:17" x14ac:dyDescent="0.25">
      <c r="A216" s="1">
        <v>45371</v>
      </c>
      <c r="B216">
        <v>1.1529938956853001</v>
      </c>
      <c r="C216">
        <v>1.2853727457251499E-2</v>
      </c>
      <c r="D216">
        <v>-1.88690694809027</v>
      </c>
      <c r="E216">
        <v>-7.2206676702490896E-2</v>
      </c>
      <c r="F216" s="3">
        <v>-2.7184731934401501E-2</v>
      </c>
      <c r="G216">
        <f t="shared" si="29"/>
        <v>0.158981806182767</v>
      </c>
      <c r="H216" t="str">
        <f>IF(F216&gt;$T$2,"buy",IF(F216&lt;0,"sell","keep"))</f>
        <v>sell</v>
      </c>
      <c r="I216" t="str">
        <f t="shared" si="31"/>
        <v>sell</v>
      </c>
      <c r="J216">
        <f t="shared" si="30"/>
        <v>0</v>
      </c>
      <c r="K216" t="str">
        <f t="shared" si="32"/>
        <v>sell</v>
      </c>
      <c r="L216">
        <f t="shared" si="27"/>
        <v>0</v>
      </c>
      <c r="M216">
        <f t="shared" si="28"/>
        <v>1</v>
      </c>
      <c r="N216">
        <f t="shared" si="33"/>
        <v>0</v>
      </c>
      <c r="O216">
        <f t="shared" si="34"/>
        <v>1171.5185671865979</v>
      </c>
      <c r="P216">
        <f t="shared" si="35"/>
        <v>0</v>
      </c>
      <c r="Q216">
        <f>Q215+(Q215*E216/100)</f>
        <v>1325.705103149852</v>
      </c>
    </row>
    <row r="217" spans="1:17" x14ac:dyDescent="0.25">
      <c r="A217" s="1">
        <v>45372</v>
      </c>
      <c r="B217">
        <v>0.440082253481555</v>
      </c>
      <c r="C217">
        <v>-0.104983134827163</v>
      </c>
      <c r="D217">
        <v>0.69779623723031903</v>
      </c>
      <c r="E217">
        <v>0.158981806182767</v>
      </c>
      <c r="F217" s="3">
        <v>0.16603956553569099</v>
      </c>
      <c r="G217">
        <f t="shared" si="29"/>
        <v>-0.49062335259557599</v>
      </c>
      <c r="H217" t="str">
        <f>IF(F217&gt;$T$2,"buy",IF(F217&lt;0,"sell","keep"))</f>
        <v>buy</v>
      </c>
      <c r="I217" t="str">
        <f t="shared" si="31"/>
        <v>buy</v>
      </c>
      <c r="J217">
        <f t="shared" si="30"/>
        <v>0</v>
      </c>
      <c r="K217" t="str">
        <f t="shared" si="32"/>
        <v>buy</v>
      </c>
      <c r="L217">
        <f t="shared" si="27"/>
        <v>1</v>
      </c>
      <c r="M217">
        <f t="shared" si="28"/>
        <v>0</v>
      </c>
      <c r="N217">
        <f t="shared" si="33"/>
        <v>0</v>
      </c>
      <c r="O217">
        <f t="shared" si="34"/>
        <v>0</v>
      </c>
      <c r="P217">
        <f t="shared" si="35"/>
        <v>1171.5185671865979</v>
      </c>
      <c r="Q217">
        <f>Q216+(Q216*E217/100)</f>
        <v>1327.8127330674968</v>
      </c>
    </row>
    <row r="218" spans="1:17" x14ac:dyDescent="0.25">
      <c r="A218" s="1">
        <v>45373</v>
      </c>
      <c r="B218">
        <v>0.104029462576638</v>
      </c>
      <c r="C218">
        <v>0.41604293918173701</v>
      </c>
      <c r="D218">
        <v>0.53520013694934299</v>
      </c>
      <c r="E218">
        <v>-0.49062335259557599</v>
      </c>
      <c r="F218" s="3">
        <v>0.206278737216536</v>
      </c>
      <c r="G218">
        <f t="shared" si="29"/>
        <v>0.27552420273508899</v>
      </c>
      <c r="H218" t="str">
        <f>IF(F218&gt;$T$2,"buy",IF(F218&lt;0,"sell","keep"))</f>
        <v>buy</v>
      </c>
      <c r="I218" t="str">
        <f t="shared" si="31"/>
        <v>buy</v>
      </c>
      <c r="J218">
        <f t="shared" si="30"/>
        <v>1</v>
      </c>
      <c r="K218" t="str">
        <f t="shared" si="32"/>
        <v>keep</v>
      </c>
      <c r="L218">
        <f t="shared" si="27"/>
        <v>0</v>
      </c>
      <c r="M218">
        <f t="shared" si="28"/>
        <v>0</v>
      </c>
      <c r="N218">
        <f t="shared" si="33"/>
        <v>0</v>
      </c>
      <c r="O218">
        <f t="shared" si="34"/>
        <v>0</v>
      </c>
      <c r="P218">
        <f t="shared" si="35"/>
        <v>1173.3810685644776</v>
      </c>
      <c r="Q218">
        <f>Q217+(Q217*E218/100)</f>
        <v>1321.2981737203302</v>
      </c>
    </row>
    <row r="219" spans="1:17" x14ac:dyDescent="0.25">
      <c r="A219" s="1">
        <v>45376</v>
      </c>
      <c r="B219">
        <v>-0.34013529371733597</v>
      </c>
      <c r="C219">
        <v>-0.28618308518044699</v>
      </c>
      <c r="D219">
        <v>4.4844983915437397E-2</v>
      </c>
      <c r="E219">
        <v>0.27552420273508899</v>
      </c>
      <c r="F219" s="3">
        <v>6.83837452187009E-2</v>
      </c>
      <c r="G219">
        <f t="shared" si="29"/>
        <v>7.2294482775503405E-2</v>
      </c>
      <c r="H219" t="str">
        <f>IF(F219&gt;$T$2,"buy",IF(F219&lt;0,"sell","keep"))</f>
        <v>keep</v>
      </c>
      <c r="I219" t="str">
        <f t="shared" si="31"/>
        <v>sell</v>
      </c>
      <c r="J219">
        <f t="shared" si="30"/>
        <v>1</v>
      </c>
      <c r="K219" t="str">
        <f t="shared" si="32"/>
        <v>sell</v>
      </c>
      <c r="L219">
        <f t="shared" si="27"/>
        <v>0</v>
      </c>
      <c r="M219">
        <f t="shared" si="28"/>
        <v>1</v>
      </c>
      <c r="N219">
        <f t="shared" si="33"/>
        <v>1</v>
      </c>
      <c r="O219">
        <f t="shared" si="34"/>
        <v>1176.6140173986844</v>
      </c>
      <c r="P219">
        <f t="shared" si="35"/>
        <v>0</v>
      </c>
      <c r="Q219">
        <f>Q218+(Q218*E219/100)</f>
        <v>1324.9386699792265</v>
      </c>
    </row>
    <row r="220" spans="1:17" x14ac:dyDescent="0.25">
      <c r="A220" s="1">
        <v>45377</v>
      </c>
      <c r="B220">
        <v>-0.36396161299785401</v>
      </c>
      <c r="C220">
        <v>0.139220319414534</v>
      </c>
      <c r="D220">
        <v>0.36967710245956398</v>
      </c>
      <c r="E220">
        <v>7.2294482775503405E-2</v>
      </c>
      <c r="F220" s="3">
        <v>0.148499307122436</v>
      </c>
      <c r="G220">
        <f t="shared" si="29"/>
        <v>0.26011897070905499</v>
      </c>
      <c r="H220" t="str">
        <f>IF(F220&gt;$T$2,"buy",IF(F220&lt;0,"sell","keep"))</f>
        <v>keep</v>
      </c>
      <c r="I220" t="str">
        <f t="shared" si="31"/>
        <v>sell</v>
      </c>
      <c r="J220">
        <f t="shared" si="30"/>
        <v>1</v>
      </c>
      <c r="K220" t="str">
        <f t="shared" si="32"/>
        <v>keep</v>
      </c>
      <c r="L220">
        <f t="shared" si="27"/>
        <v>0</v>
      </c>
      <c r="M220">
        <f t="shared" si="28"/>
        <v>0</v>
      </c>
      <c r="N220">
        <f t="shared" si="33"/>
        <v>0</v>
      </c>
      <c r="O220">
        <f t="shared" si="34"/>
        <v>1176.6140173986844</v>
      </c>
      <c r="P220">
        <f t="shared" si="35"/>
        <v>0</v>
      </c>
      <c r="Q220">
        <f>Q219+(Q219*E220/100)</f>
        <v>1325.8965275377807</v>
      </c>
    </row>
    <row r="221" spans="1:17" x14ac:dyDescent="0.25">
      <c r="A221" s="1">
        <v>45378</v>
      </c>
      <c r="B221">
        <v>0.38604448231172001</v>
      </c>
      <c r="C221">
        <v>-0.28231279119681402</v>
      </c>
      <c r="D221">
        <v>0.64736620832312997</v>
      </c>
      <c r="E221">
        <v>0.26011897070905499</v>
      </c>
      <c r="F221" s="3">
        <v>0.13449944124463001</v>
      </c>
      <c r="G221">
        <f t="shared" si="29"/>
        <v>0.36032947360318202</v>
      </c>
      <c r="H221" t="str">
        <f>IF(F221&gt;$T$2,"buy",IF(F221&lt;0,"sell","keep"))</f>
        <v>keep</v>
      </c>
      <c r="I221" t="str">
        <f t="shared" si="31"/>
        <v>sell</v>
      </c>
      <c r="J221">
        <f t="shared" si="30"/>
        <v>1</v>
      </c>
      <c r="K221" t="str">
        <f t="shared" si="32"/>
        <v>keep</v>
      </c>
      <c r="L221">
        <f t="shared" si="27"/>
        <v>0</v>
      </c>
      <c r="M221">
        <f t="shared" si="28"/>
        <v>0</v>
      </c>
      <c r="N221">
        <f t="shared" si="33"/>
        <v>0</v>
      </c>
      <c r="O221">
        <f t="shared" si="34"/>
        <v>1176.6140173986844</v>
      </c>
      <c r="P221">
        <f t="shared" si="35"/>
        <v>0</v>
      </c>
      <c r="Q221">
        <f>Q220+(Q220*E221/100)</f>
        <v>1329.3454359378791</v>
      </c>
    </row>
    <row r="222" spans="1:17" x14ac:dyDescent="0.25">
      <c r="A222" s="1">
        <v>45379</v>
      </c>
      <c r="B222">
        <v>-0.143048081206953</v>
      </c>
      <c r="C222">
        <v>-0.40967829746073597</v>
      </c>
      <c r="D222">
        <v>0.97034100418049696</v>
      </c>
      <c r="E222">
        <v>0.36032947360318202</v>
      </c>
      <c r="F222" s="3">
        <v>0.13654093499422401</v>
      </c>
      <c r="G222">
        <f t="shared" si="29"/>
        <v>0.31646047309101799</v>
      </c>
      <c r="H222" t="str">
        <f>IF(F222&gt;$T$2,"buy",IF(F222&lt;0,"sell","keep"))</f>
        <v>keep</v>
      </c>
      <c r="I222" t="str">
        <f t="shared" si="31"/>
        <v>sell</v>
      </c>
      <c r="J222">
        <f t="shared" si="30"/>
        <v>1</v>
      </c>
      <c r="K222" t="str">
        <f t="shared" si="32"/>
        <v>keep</v>
      </c>
      <c r="L222">
        <f t="shared" si="27"/>
        <v>0</v>
      </c>
      <c r="M222">
        <f t="shared" si="28"/>
        <v>0</v>
      </c>
      <c r="N222">
        <f t="shared" si="33"/>
        <v>0</v>
      </c>
      <c r="O222">
        <f t="shared" si="34"/>
        <v>1176.6140173986844</v>
      </c>
      <c r="P222">
        <f t="shared" si="35"/>
        <v>0</v>
      </c>
      <c r="Q222">
        <f>Q221+(Q221*E222/100)</f>
        <v>1334.1354593495619</v>
      </c>
    </row>
    <row r="223" spans="1:17" x14ac:dyDescent="0.25">
      <c r="A223" s="1">
        <v>45385</v>
      </c>
      <c r="B223">
        <v>0.211955766708982</v>
      </c>
      <c r="C223">
        <v>0.24494293945194201</v>
      </c>
      <c r="D223">
        <v>-1.8595337185165299</v>
      </c>
      <c r="E223">
        <v>0.31646047309101799</v>
      </c>
      <c r="F223" s="3">
        <v>-1.2561909501213799E-2</v>
      </c>
      <c r="G223">
        <f t="shared" si="29"/>
        <v>-5.7357312445660502E-2</v>
      </c>
      <c r="H223" t="str">
        <f>IF(F223&gt;$T$2,"buy",IF(F223&lt;0,"sell","keep"))</f>
        <v>sell</v>
      </c>
      <c r="I223" t="str">
        <f t="shared" si="31"/>
        <v>sell</v>
      </c>
      <c r="J223">
        <f t="shared" si="30"/>
        <v>1</v>
      </c>
      <c r="K223" t="str">
        <f t="shared" si="32"/>
        <v>keep</v>
      </c>
      <c r="L223">
        <f t="shared" si="27"/>
        <v>0</v>
      </c>
      <c r="M223">
        <f t="shared" si="28"/>
        <v>0</v>
      </c>
      <c r="N223">
        <f t="shared" si="33"/>
        <v>0</v>
      </c>
      <c r="O223">
        <f t="shared" si="34"/>
        <v>1176.6140173986844</v>
      </c>
      <c r="P223">
        <f t="shared" si="35"/>
        <v>0</v>
      </c>
      <c r="Q223">
        <f>Q222+(Q222*E223/100)</f>
        <v>1338.3574707358946</v>
      </c>
    </row>
    <row r="224" spans="1:17" x14ac:dyDescent="0.25">
      <c r="A224" s="1">
        <v>45386</v>
      </c>
      <c r="B224">
        <v>-1.5495992317501599</v>
      </c>
      <c r="C224">
        <v>-1.12654373065486</v>
      </c>
      <c r="D224">
        <v>-5.3177557413120802</v>
      </c>
      <c r="E224">
        <v>-5.7357312445660502E-2</v>
      </c>
      <c r="F224" s="3">
        <v>-0.51408073994882597</v>
      </c>
      <c r="G224">
        <f t="shared" si="29"/>
        <v>-2.0372950198108501</v>
      </c>
      <c r="H224" t="str">
        <f>IF(F224&gt;$T$2,"buy",IF(F224&lt;0,"sell","keep"))</f>
        <v>sell</v>
      </c>
      <c r="I224" t="str">
        <f t="shared" si="31"/>
        <v>sell</v>
      </c>
      <c r="J224">
        <f t="shared" si="30"/>
        <v>1</v>
      </c>
      <c r="K224" t="str">
        <f t="shared" si="32"/>
        <v>keep</v>
      </c>
      <c r="L224">
        <f t="shared" si="27"/>
        <v>0</v>
      </c>
      <c r="M224">
        <f t="shared" si="28"/>
        <v>0</v>
      </c>
      <c r="N224">
        <f t="shared" si="33"/>
        <v>0</v>
      </c>
      <c r="O224">
        <f t="shared" si="34"/>
        <v>1176.6140173986844</v>
      </c>
      <c r="P224">
        <f t="shared" si="35"/>
        <v>0</v>
      </c>
      <c r="Q224">
        <f>Q223+(Q223*E224/100)</f>
        <v>1337.5898248597648</v>
      </c>
    </row>
    <row r="225" spans="1:17" x14ac:dyDescent="0.25">
      <c r="A225" s="1">
        <v>45387</v>
      </c>
      <c r="B225">
        <v>1.28466064047865</v>
      </c>
      <c r="C225">
        <v>1.6270762615459</v>
      </c>
      <c r="D225">
        <v>1.2507301288142001</v>
      </c>
      <c r="E225">
        <v>-2.0372950198108501</v>
      </c>
      <c r="F225" s="3">
        <v>0.47672081231258201</v>
      </c>
      <c r="G225">
        <f t="shared" si="29"/>
        <v>0.55653629006462402</v>
      </c>
      <c r="H225" t="str">
        <f>IF(F225&gt;$T$2,"buy",IF(F225&lt;0,"sell","keep"))</f>
        <v>buy</v>
      </c>
      <c r="I225" t="str">
        <f t="shared" si="31"/>
        <v>buy</v>
      </c>
      <c r="J225">
        <f t="shared" si="30"/>
        <v>1</v>
      </c>
      <c r="K225" t="str">
        <f t="shared" si="32"/>
        <v>buy</v>
      </c>
      <c r="L225">
        <f t="shared" si="27"/>
        <v>1</v>
      </c>
      <c r="M225">
        <f t="shared" si="28"/>
        <v>0</v>
      </c>
      <c r="N225">
        <f t="shared" si="33"/>
        <v>1</v>
      </c>
      <c r="O225">
        <f t="shared" si="34"/>
        <v>0</v>
      </c>
      <c r="P225">
        <f t="shared" si="35"/>
        <v>1176.6140173986844</v>
      </c>
      <c r="Q225">
        <f>Q224+(Q224*E225/100)</f>
        <v>1310.3391739724002</v>
      </c>
    </row>
    <row r="226" spans="1:17" x14ac:dyDescent="0.25">
      <c r="A226" s="1">
        <v>45390</v>
      </c>
      <c r="B226">
        <v>-4.56774565411599E-2</v>
      </c>
      <c r="C226">
        <v>-0.65203614362743201</v>
      </c>
      <c r="D226">
        <v>-0.117646640297131</v>
      </c>
      <c r="E226">
        <v>0.55653629006462402</v>
      </c>
      <c r="F226" s="3">
        <v>6.3271710512067597E-3</v>
      </c>
      <c r="G226">
        <f t="shared" si="29"/>
        <v>-1.3690645125535399</v>
      </c>
      <c r="H226" t="str">
        <f>IF(F226&gt;$T$2,"buy",IF(F226&lt;0,"sell","keep"))</f>
        <v>keep</v>
      </c>
      <c r="I226" t="str">
        <f t="shared" si="31"/>
        <v>sell</v>
      </c>
      <c r="J226">
        <f t="shared" si="30"/>
        <v>0</v>
      </c>
      <c r="K226" t="str">
        <f t="shared" si="32"/>
        <v>sell</v>
      </c>
      <c r="L226">
        <f t="shared" si="27"/>
        <v>0</v>
      </c>
      <c r="M226">
        <f t="shared" si="28"/>
        <v>1</v>
      </c>
      <c r="N226">
        <f t="shared" si="33"/>
        <v>0</v>
      </c>
      <c r="O226">
        <f t="shared" si="34"/>
        <v>1183.1623013994954</v>
      </c>
      <c r="P226">
        <f t="shared" si="35"/>
        <v>0</v>
      </c>
      <c r="Q226">
        <f>Q225+(Q225*E226/100)</f>
        <v>1317.6316869984896</v>
      </c>
    </row>
    <row r="227" spans="1:17" x14ac:dyDescent="0.25">
      <c r="A227" s="1">
        <v>45391</v>
      </c>
      <c r="B227">
        <v>0.38513926984318197</v>
      </c>
      <c r="C227">
        <v>-0.80793733867874296</v>
      </c>
      <c r="D227">
        <v>0.200232932864263</v>
      </c>
      <c r="E227">
        <v>-1.3690645125535399</v>
      </c>
      <c r="F227" s="3">
        <v>2.4651326176974801E-2</v>
      </c>
      <c r="G227">
        <f t="shared" si="29"/>
        <v>-2.95372497538526E-2</v>
      </c>
      <c r="H227" t="str">
        <f>IF(F227&gt;$T$2,"buy",IF(F227&lt;0,"sell","keep"))</f>
        <v>keep</v>
      </c>
      <c r="I227" t="str">
        <f t="shared" si="31"/>
        <v>sell</v>
      </c>
      <c r="J227">
        <f t="shared" si="30"/>
        <v>0</v>
      </c>
      <c r="K227" t="str">
        <f t="shared" si="32"/>
        <v>keep</v>
      </c>
      <c r="L227">
        <f t="shared" si="27"/>
        <v>0</v>
      </c>
      <c r="M227">
        <f t="shared" si="28"/>
        <v>0</v>
      </c>
      <c r="N227">
        <f t="shared" si="33"/>
        <v>0</v>
      </c>
      <c r="O227">
        <f t="shared" si="34"/>
        <v>1183.1623013994954</v>
      </c>
      <c r="P227">
        <f t="shared" si="35"/>
        <v>0</v>
      </c>
      <c r="Q227">
        <f>Q226+(Q226*E227/100)</f>
        <v>1299.5924591656328</v>
      </c>
    </row>
    <row r="228" spans="1:17" x14ac:dyDescent="0.25">
      <c r="A228" s="1">
        <v>45392</v>
      </c>
      <c r="B228">
        <v>-0.87089214014979199</v>
      </c>
      <c r="C228">
        <v>-1.62685513321256</v>
      </c>
      <c r="D228">
        <v>-0.65239391069555897</v>
      </c>
      <c r="E228">
        <v>-2.95372497538526E-2</v>
      </c>
      <c r="F228" s="3">
        <v>-0.21266356555648799</v>
      </c>
      <c r="G228">
        <f t="shared" si="29"/>
        <v>-1.1816878459042099</v>
      </c>
      <c r="H228" t="str">
        <f>IF(F228&gt;$T$2,"buy",IF(F228&lt;0,"sell","keep"))</f>
        <v>sell</v>
      </c>
      <c r="I228" t="str">
        <f t="shared" si="31"/>
        <v>sell</v>
      </c>
      <c r="J228">
        <f t="shared" si="30"/>
        <v>1</v>
      </c>
      <c r="K228" t="str">
        <f t="shared" si="32"/>
        <v>keep</v>
      </c>
      <c r="L228">
        <f t="shared" si="27"/>
        <v>0</v>
      </c>
      <c r="M228">
        <f t="shared" si="28"/>
        <v>0</v>
      </c>
      <c r="N228">
        <f t="shared" si="33"/>
        <v>0</v>
      </c>
      <c r="O228">
        <f t="shared" si="34"/>
        <v>1183.1623013994954</v>
      </c>
      <c r="P228">
        <f t="shared" si="35"/>
        <v>0</v>
      </c>
      <c r="Q228">
        <f>Q227+(Q227*E228/100)</f>
        <v>1299.2085952951868</v>
      </c>
    </row>
    <row r="229" spans="1:17" x14ac:dyDescent="0.25">
      <c r="A229" s="1">
        <v>45393</v>
      </c>
      <c r="B229">
        <v>1.64515824709905</v>
      </c>
      <c r="C229">
        <v>0.55717723474215597</v>
      </c>
      <c r="D229">
        <v>-0.89331189049570703</v>
      </c>
      <c r="E229">
        <v>-1.1816878459042099</v>
      </c>
      <c r="F229" s="3">
        <v>0.12100599389632199</v>
      </c>
      <c r="G229">
        <f t="shared" si="29"/>
        <v>0.62780226167205</v>
      </c>
      <c r="H229" t="str">
        <f>IF(F229&gt;$T$2,"buy",IF(F229&lt;0,"sell","keep"))</f>
        <v>keep</v>
      </c>
      <c r="I229" t="str">
        <f t="shared" si="31"/>
        <v>sell</v>
      </c>
      <c r="J229">
        <f t="shared" si="30"/>
        <v>1</v>
      </c>
      <c r="K229" t="str">
        <f t="shared" si="32"/>
        <v>keep</v>
      </c>
      <c r="L229">
        <f t="shared" si="27"/>
        <v>0</v>
      </c>
      <c r="M229">
        <f t="shared" si="28"/>
        <v>0</v>
      </c>
      <c r="N229">
        <f t="shared" si="33"/>
        <v>0</v>
      </c>
      <c r="O229">
        <f t="shared" si="34"/>
        <v>1183.1623013994954</v>
      </c>
      <c r="P229">
        <f t="shared" si="35"/>
        <v>0</v>
      </c>
      <c r="Q229">
        <f>Q228+(Q228*E229/100)</f>
        <v>1283.8560052316407</v>
      </c>
    </row>
    <row r="230" spans="1:17" x14ac:dyDescent="0.25">
      <c r="A230" s="1">
        <v>45394</v>
      </c>
      <c r="B230">
        <v>-1.6631557745800201</v>
      </c>
      <c r="C230">
        <v>-1.2339914060414501</v>
      </c>
      <c r="D230">
        <v>-2.2233187070667899</v>
      </c>
      <c r="E230">
        <v>0.62780226167205</v>
      </c>
      <c r="F230" s="3">
        <v>-0.375621733440542</v>
      </c>
      <c r="G230">
        <f t="shared" si="29"/>
        <v>0.47534072559323098</v>
      </c>
      <c r="H230" t="str">
        <f>IF(F230&gt;$T$2,"buy",IF(F230&lt;0,"sell","keep"))</f>
        <v>sell</v>
      </c>
      <c r="I230" t="str">
        <f t="shared" si="31"/>
        <v>sell</v>
      </c>
      <c r="J230">
        <f t="shared" si="30"/>
        <v>0</v>
      </c>
      <c r="K230" t="str">
        <f t="shared" si="32"/>
        <v>keep</v>
      </c>
      <c r="L230">
        <f t="shared" si="27"/>
        <v>0</v>
      </c>
      <c r="M230">
        <f t="shared" si="28"/>
        <v>0</v>
      </c>
      <c r="N230">
        <f t="shared" si="33"/>
        <v>0</v>
      </c>
      <c r="O230">
        <f t="shared" si="34"/>
        <v>1183.1623013994954</v>
      </c>
      <c r="P230">
        <f t="shared" si="35"/>
        <v>0</v>
      </c>
      <c r="Q230">
        <f>Q229+(Q229*E230/100)</f>
        <v>1291.9160822690974</v>
      </c>
    </row>
    <row r="231" spans="1:17" x14ac:dyDescent="0.25">
      <c r="A231" s="1">
        <v>45397</v>
      </c>
      <c r="B231">
        <v>-1.64779246906009</v>
      </c>
      <c r="C231">
        <v>-0.594548712049491</v>
      </c>
      <c r="D231">
        <v>-0.37588886670225602</v>
      </c>
      <c r="E231">
        <v>0.47534072559323098</v>
      </c>
      <c r="F231" s="3">
        <v>-7.3409751208757701E-2</v>
      </c>
      <c r="G231">
        <f t="shared" si="29"/>
        <v>-1.7740915728726701</v>
      </c>
      <c r="H231" t="str">
        <f>IF(F231&gt;$T$2,"buy",IF(F231&lt;0,"sell","keep"))</f>
        <v>sell</v>
      </c>
      <c r="I231" t="str">
        <f t="shared" si="31"/>
        <v>sell</v>
      </c>
      <c r="J231">
        <f t="shared" si="30"/>
        <v>1</v>
      </c>
      <c r="K231" t="str">
        <f t="shared" si="32"/>
        <v>keep</v>
      </c>
      <c r="L231">
        <f t="shared" si="27"/>
        <v>0</v>
      </c>
      <c r="M231">
        <f t="shared" si="28"/>
        <v>0</v>
      </c>
      <c r="N231">
        <f t="shared" si="33"/>
        <v>0</v>
      </c>
      <c r="O231">
        <f t="shared" si="34"/>
        <v>1183.1623013994954</v>
      </c>
      <c r="P231">
        <f t="shared" si="35"/>
        <v>0</v>
      </c>
      <c r="Q231">
        <f>Q230+(Q230*E231/100)</f>
        <v>1298.057085548611</v>
      </c>
    </row>
    <row r="232" spans="1:17" x14ac:dyDescent="0.25">
      <c r="A232" s="1">
        <v>45398</v>
      </c>
      <c r="B232">
        <v>3.8573127402607897E-2</v>
      </c>
      <c r="C232">
        <v>0.23160048215009599</v>
      </c>
      <c r="D232">
        <v>0.53812441659282195</v>
      </c>
      <c r="E232">
        <v>-1.7740915728726701</v>
      </c>
      <c r="F232" s="3">
        <v>0.17432121375617199</v>
      </c>
      <c r="G232">
        <f t="shared" si="29"/>
        <v>0.72245490202675899</v>
      </c>
      <c r="H232" t="str">
        <f>IF(F232&gt;$T$2,"buy",IF(F232&lt;0,"sell","keep"))</f>
        <v>buy</v>
      </c>
      <c r="I232" t="str">
        <f t="shared" si="31"/>
        <v>buy</v>
      </c>
      <c r="J232">
        <f t="shared" si="30"/>
        <v>1</v>
      </c>
      <c r="K232" t="str">
        <f t="shared" si="32"/>
        <v>buy</v>
      </c>
      <c r="L232">
        <f t="shared" si="27"/>
        <v>1</v>
      </c>
      <c r="M232">
        <f t="shared" si="28"/>
        <v>0</v>
      </c>
      <c r="N232">
        <f t="shared" si="33"/>
        <v>1</v>
      </c>
      <c r="O232">
        <f t="shared" si="34"/>
        <v>0</v>
      </c>
      <c r="P232">
        <f t="shared" si="35"/>
        <v>1183.1623013994954</v>
      </c>
      <c r="Q232">
        <f>Q231+(Q231*E232/100)</f>
        <v>1275.0283641828164</v>
      </c>
    </row>
    <row r="233" spans="1:17" x14ac:dyDescent="0.25">
      <c r="A233" s="1">
        <v>45399</v>
      </c>
      <c r="B233">
        <v>-1.2422108908268801</v>
      </c>
      <c r="C233">
        <v>0.226570062685227</v>
      </c>
      <c r="D233">
        <v>1.0520566593823499</v>
      </c>
      <c r="E233">
        <v>0.72245490202675899</v>
      </c>
      <c r="F233" s="3">
        <v>0.176013206700248</v>
      </c>
      <c r="G233">
        <f t="shared" si="29"/>
        <v>1.0759062056051101</v>
      </c>
      <c r="H233" t="str">
        <f>IF(F233&gt;$T$2,"buy",IF(F233&lt;0,"sell","keep"))</f>
        <v>buy</v>
      </c>
      <c r="I233" t="str">
        <f t="shared" si="31"/>
        <v>buy</v>
      </c>
      <c r="J233">
        <f t="shared" si="30"/>
        <v>1</v>
      </c>
      <c r="K233" t="str">
        <f t="shared" si="32"/>
        <v>keep</v>
      </c>
      <c r="L233">
        <f t="shared" si="27"/>
        <v>0</v>
      </c>
      <c r="M233">
        <f t="shared" si="28"/>
        <v>0</v>
      </c>
      <c r="N233">
        <f t="shared" si="33"/>
        <v>0</v>
      </c>
      <c r="O233">
        <f t="shared" si="34"/>
        <v>0</v>
      </c>
      <c r="P233">
        <f t="shared" si="35"/>
        <v>1162.1719187169606</v>
      </c>
      <c r="Q233">
        <f>Q232+(Q232*E233/100)</f>
        <v>1284.2398691020867</v>
      </c>
    </row>
    <row r="234" spans="1:17" x14ac:dyDescent="0.25">
      <c r="A234" s="1">
        <v>45400</v>
      </c>
      <c r="B234">
        <v>-0.56768466805920903</v>
      </c>
      <c r="C234">
        <v>-8.0585255043075205E-2</v>
      </c>
      <c r="D234">
        <v>0.24960814173902099</v>
      </c>
      <c r="E234">
        <v>1.0759062056051101</v>
      </c>
      <c r="F234" s="3">
        <v>8.75406413987391E-2</v>
      </c>
      <c r="G234">
        <f t="shared" si="29"/>
        <v>0.236552270212464</v>
      </c>
      <c r="H234" t="str">
        <f>IF(F234&gt;$T$2,"buy",IF(F234&lt;0,"sell","keep"))</f>
        <v>keep</v>
      </c>
      <c r="I234" t="str">
        <f t="shared" si="31"/>
        <v>sell</v>
      </c>
      <c r="J234">
        <f t="shared" si="30"/>
        <v>1</v>
      </c>
      <c r="K234" t="str">
        <f t="shared" si="32"/>
        <v>sell</v>
      </c>
      <c r="L234">
        <f t="shared" si="27"/>
        <v>0</v>
      </c>
      <c r="M234">
        <f t="shared" si="28"/>
        <v>1</v>
      </c>
      <c r="N234">
        <f t="shared" si="33"/>
        <v>1</v>
      </c>
      <c r="O234">
        <f t="shared" si="34"/>
        <v>1174.6757985102363</v>
      </c>
      <c r="P234">
        <f t="shared" si="35"/>
        <v>0</v>
      </c>
      <c r="Q234">
        <f>Q233+(Q233*E234/100)</f>
        <v>1298.057085548611</v>
      </c>
    </row>
    <row r="235" spans="1:17" x14ac:dyDescent="0.25">
      <c r="A235" s="1">
        <v>45401</v>
      </c>
      <c r="B235">
        <v>-2.05044146641429</v>
      </c>
      <c r="C235">
        <v>-2.9113795366375501E-2</v>
      </c>
      <c r="D235">
        <v>1.0628131449452001</v>
      </c>
      <c r="E235">
        <v>0.236552270212464</v>
      </c>
      <c r="F235" s="3">
        <v>0.12874923114582501</v>
      </c>
      <c r="G235">
        <f t="shared" si="29"/>
        <v>1.26843954962314</v>
      </c>
      <c r="H235" t="str">
        <f>IF(F235&gt;$T$2,"buy",IF(F235&lt;0,"sell","keep"))</f>
        <v>keep</v>
      </c>
      <c r="I235" t="str">
        <f t="shared" si="31"/>
        <v>sell</v>
      </c>
      <c r="J235">
        <f t="shared" si="30"/>
        <v>1</v>
      </c>
      <c r="K235" t="str">
        <f t="shared" si="32"/>
        <v>keep</v>
      </c>
      <c r="L235">
        <f t="shared" si="27"/>
        <v>0</v>
      </c>
      <c r="M235">
        <f t="shared" si="28"/>
        <v>0</v>
      </c>
      <c r="N235">
        <f t="shared" si="33"/>
        <v>0</v>
      </c>
      <c r="O235">
        <f t="shared" si="34"/>
        <v>1174.6757985102363</v>
      </c>
      <c r="P235">
        <f t="shared" si="35"/>
        <v>0</v>
      </c>
      <c r="Q235">
        <f>Q234+(Q234*E235/100)</f>
        <v>1301.1276690531299</v>
      </c>
    </row>
    <row r="236" spans="1:17" x14ac:dyDescent="0.25">
      <c r="A236" s="1">
        <v>45404</v>
      </c>
      <c r="B236">
        <v>1.01680824763445</v>
      </c>
      <c r="C236">
        <v>0.150122384887629</v>
      </c>
      <c r="D236">
        <v>0.88936620007509204</v>
      </c>
      <c r="E236">
        <v>1.26843954962314</v>
      </c>
      <c r="F236" s="3">
        <v>0.244661923448796</v>
      </c>
      <c r="G236">
        <f t="shared" si="29"/>
        <v>1.7185967713155099</v>
      </c>
      <c r="H236" t="str">
        <f>IF(F236&gt;$T$2,"buy",IF(F236&lt;0,"sell","keep"))</f>
        <v>buy</v>
      </c>
      <c r="I236" t="str">
        <f t="shared" si="31"/>
        <v>buy</v>
      </c>
      <c r="J236">
        <f t="shared" si="30"/>
        <v>1</v>
      </c>
      <c r="K236" t="str">
        <f t="shared" si="32"/>
        <v>buy</v>
      </c>
      <c r="L236">
        <f t="shared" si="27"/>
        <v>1</v>
      </c>
      <c r="M236">
        <f t="shared" si="28"/>
        <v>0</v>
      </c>
      <c r="N236">
        <f t="shared" si="33"/>
        <v>1</v>
      </c>
      <c r="O236">
        <f t="shared" si="34"/>
        <v>0</v>
      </c>
      <c r="P236">
        <f t="shared" si="35"/>
        <v>1174.6757985102363</v>
      </c>
      <c r="Q236">
        <f>Q235+(Q235*E236/100)</f>
        <v>1317.6316869984896</v>
      </c>
    </row>
    <row r="237" spans="1:17" x14ac:dyDescent="0.25">
      <c r="A237" s="1">
        <v>45405</v>
      </c>
      <c r="B237">
        <v>1.51404179947833</v>
      </c>
      <c r="C237">
        <v>-0.427317450475384</v>
      </c>
      <c r="D237">
        <v>0.98277555362087299</v>
      </c>
      <c r="E237">
        <v>1.7185967713155099</v>
      </c>
      <c r="F237" s="3">
        <v>0.20820373915948001</v>
      </c>
      <c r="G237">
        <f t="shared" si="29"/>
        <v>-1.91865469456204</v>
      </c>
      <c r="H237" t="str">
        <f>IF(F237&gt;$T$2,"buy",IF(F237&lt;0,"sell","keep"))</f>
        <v>buy</v>
      </c>
      <c r="I237" t="str">
        <f t="shared" si="31"/>
        <v>buy</v>
      </c>
      <c r="J237">
        <f t="shared" si="30"/>
        <v>0</v>
      </c>
      <c r="K237" t="str">
        <f t="shared" si="32"/>
        <v>keep</v>
      </c>
      <c r="L237">
        <f t="shared" si="27"/>
        <v>0</v>
      </c>
      <c r="M237">
        <f t="shared" si="28"/>
        <v>0</v>
      </c>
      <c r="N237">
        <f t="shared" si="33"/>
        <v>0</v>
      </c>
      <c r="O237">
        <f t="shared" si="34"/>
        <v>0</v>
      </c>
      <c r="P237">
        <f t="shared" si="35"/>
        <v>1189.5758509183916</v>
      </c>
      <c r="Q237">
        <f>Q236+(Q236*E237/100)</f>
        <v>1340.2764626290757</v>
      </c>
    </row>
    <row r="238" spans="1:17" x14ac:dyDescent="0.25">
      <c r="A238" s="1">
        <v>45406</v>
      </c>
      <c r="B238">
        <v>0.31668815445000598</v>
      </c>
      <c r="C238">
        <v>-0.16626447686899301</v>
      </c>
      <c r="D238">
        <v>-1.0262993077993301</v>
      </c>
      <c r="E238">
        <v>-1.91865469456204</v>
      </c>
      <c r="F238" s="3">
        <v>-3.16096833882289E-2</v>
      </c>
      <c r="G238">
        <f t="shared" si="29"/>
        <v>-1.31387294968519</v>
      </c>
      <c r="H238" t="str">
        <f>IF(F238&gt;$T$2,"buy",IF(F238&lt;0,"sell","keep"))</f>
        <v>sell</v>
      </c>
      <c r="I238" t="str">
        <f t="shared" si="31"/>
        <v>sell</v>
      </c>
      <c r="J238">
        <f t="shared" si="30"/>
        <v>1</v>
      </c>
      <c r="K238" t="str">
        <f t="shared" si="32"/>
        <v>sell</v>
      </c>
      <c r="L238">
        <f t="shared" si="27"/>
        <v>0</v>
      </c>
      <c r="M238">
        <f t="shared" si="28"/>
        <v>1</v>
      </c>
      <c r="N238">
        <f t="shared" si="33"/>
        <v>1</v>
      </c>
      <c r="O238">
        <f t="shared" si="34"/>
        <v>1166.7519980093696</v>
      </c>
      <c r="P238">
        <f t="shared" si="35"/>
        <v>0</v>
      </c>
      <c r="Q238">
        <f>Q237+(Q237*E238/100)</f>
        <v>1314.5611853587329</v>
      </c>
    </row>
    <row r="239" spans="1:17" x14ac:dyDescent="0.25">
      <c r="A239" s="1">
        <v>45407</v>
      </c>
      <c r="B239">
        <v>-0.54944871258547601</v>
      </c>
      <c r="C239">
        <v>-0.11029932698512999</v>
      </c>
      <c r="D239">
        <v>-0.30393027698738501</v>
      </c>
      <c r="E239">
        <v>-1.31387294968519</v>
      </c>
      <c r="F239" s="3">
        <v>3.3013399379955198E-2</v>
      </c>
      <c r="G239">
        <f t="shared" si="29"/>
        <v>0.14792948883679499</v>
      </c>
      <c r="H239" t="str">
        <f>IF(F239&gt;$T$2,"buy",IF(F239&lt;0,"sell","keep"))</f>
        <v>keep</v>
      </c>
      <c r="I239" t="str">
        <f t="shared" si="31"/>
        <v>sell</v>
      </c>
      <c r="J239">
        <f t="shared" si="30"/>
        <v>1</v>
      </c>
      <c r="K239" t="str">
        <f t="shared" si="32"/>
        <v>keep</v>
      </c>
      <c r="L239">
        <f t="shared" si="27"/>
        <v>0</v>
      </c>
      <c r="M239">
        <f t="shared" si="28"/>
        <v>0</v>
      </c>
      <c r="N239">
        <f t="shared" si="33"/>
        <v>0</v>
      </c>
      <c r="O239">
        <f t="shared" si="34"/>
        <v>1166.7519980093696</v>
      </c>
      <c r="P239">
        <f t="shared" si="35"/>
        <v>0</v>
      </c>
      <c r="Q239">
        <f>Q238+(Q238*E239/100)</f>
        <v>1297.2895215372434</v>
      </c>
    </row>
    <row r="240" spans="1:17" x14ac:dyDescent="0.25">
      <c r="A240" s="1">
        <v>45408</v>
      </c>
      <c r="B240">
        <v>1.65113325062391</v>
      </c>
      <c r="C240">
        <v>-0.14644283785304399</v>
      </c>
      <c r="D240">
        <v>-4.5848654987312703</v>
      </c>
      <c r="E240">
        <v>0.14792948883679499</v>
      </c>
      <c r="F240" s="3">
        <v>-0.40976269457376602</v>
      </c>
      <c r="G240">
        <f t="shared" si="29"/>
        <v>1.0044308883433599</v>
      </c>
      <c r="H240" t="str">
        <f>IF(F240&gt;$T$2,"buy",IF(F240&lt;0,"sell","keep"))</f>
        <v>sell</v>
      </c>
      <c r="I240" t="str">
        <f t="shared" si="31"/>
        <v>sell</v>
      </c>
      <c r="J240">
        <f t="shared" si="30"/>
        <v>0</v>
      </c>
      <c r="K240" t="str">
        <f t="shared" si="32"/>
        <v>keep</v>
      </c>
      <c r="L240">
        <f t="shared" si="27"/>
        <v>0</v>
      </c>
      <c r="M240">
        <f t="shared" si="28"/>
        <v>0</v>
      </c>
      <c r="N240">
        <f t="shared" si="33"/>
        <v>0</v>
      </c>
      <c r="O240">
        <f t="shared" si="34"/>
        <v>1166.7519980093696</v>
      </c>
      <c r="P240">
        <f t="shared" si="35"/>
        <v>0</v>
      </c>
      <c r="Q240">
        <f>Q239+(Q239*E240/100)</f>
        <v>1299.2085952951868</v>
      </c>
    </row>
    <row r="241" spans="1:17" x14ac:dyDescent="0.25">
      <c r="A241" s="1">
        <v>45411</v>
      </c>
      <c r="B241">
        <v>0.363578441693301</v>
      </c>
      <c r="C241">
        <v>0.42647127907646798</v>
      </c>
      <c r="D241">
        <v>1.1903473210895099</v>
      </c>
      <c r="E241">
        <v>1.0044308883433599</v>
      </c>
      <c r="F241" s="3">
        <v>0.27974512593558398</v>
      </c>
      <c r="G241">
        <f t="shared" si="29"/>
        <v>0.71406086220817599</v>
      </c>
      <c r="H241" t="str">
        <f>IF(F241&gt;$T$2,"buy",IF(F241&lt;0,"sell","keep"))</f>
        <v>buy</v>
      </c>
      <c r="I241" t="str">
        <f t="shared" si="31"/>
        <v>buy</v>
      </c>
      <c r="J241">
        <f t="shared" si="30"/>
        <v>1</v>
      </c>
      <c r="K241" t="str">
        <f t="shared" si="32"/>
        <v>buy</v>
      </c>
      <c r="L241">
        <f t="shared" si="27"/>
        <v>1</v>
      </c>
      <c r="M241">
        <f t="shared" si="28"/>
        <v>0</v>
      </c>
      <c r="N241">
        <f t="shared" si="33"/>
        <v>1</v>
      </c>
      <c r="O241">
        <f t="shared" si="34"/>
        <v>0</v>
      </c>
      <c r="P241">
        <f t="shared" si="35"/>
        <v>1166.7519980093696</v>
      </c>
      <c r="Q241">
        <f>Q240+(Q240*E241/100)</f>
        <v>1312.2582477303436</v>
      </c>
    </row>
    <row r="242" spans="1:17" x14ac:dyDescent="0.25">
      <c r="A242" s="1">
        <v>45412</v>
      </c>
      <c r="B242">
        <v>-1.9233910024796901</v>
      </c>
      <c r="C242">
        <v>-0.92347047944484295</v>
      </c>
      <c r="D242">
        <v>0.69339471353704296</v>
      </c>
      <c r="E242">
        <v>0.71406086220817599</v>
      </c>
      <c r="F242" s="3">
        <v>-1.7804094965705501E-2</v>
      </c>
      <c r="G242">
        <f t="shared" si="29"/>
        <v>-1.38060978729201</v>
      </c>
      <c r="H242" t="str">
        <f>IF(F242&gt;$T$2,"buy",IF(F242&lt;0,"sell","keep"))</f>
        <v>sell</v>
      </c>
      <c r="I242" t="str">
        <f t="shared" si="31"/>
        <v>sell</v>
      </c>
      <c r="J242">
        <f t="shared" si="30"/>
        <v>1</v>
      </c>
      <c r="K242" t="str">
        <f t="shared" si="32"/>
        <v>sell</v>
      </c>
      <c r="L242">
        <f t="shared" si="27"/>
        <v>0</v>
      </c>
      <c r="M242">
        <f t="shared" si="28"/>
        <v>1</v>
      </c>
      <c r="N242">
        <f t="shared" si="33"/>
        <v>1</v>
      </c>
      <c r="O242">
        <f t="shared" si="34"/>
        <v>1175.0833173861863</v>
      </c>
      <c r="P242">
        <f t="shared" si="35"/>
        <v>0</v>
      </c>
      <c r="Q242">
        <f>Q241+(Q241*E242/100)</f>
        <v>1321.6285702884848</v>
      </c>
    </row>
    <row r="243" spans="1:17" x14ac:dyDescent="0.25">
      <c r="A243" s="1">
        <v>45415</v>
      </c>
      <c r="B243">
        <v>1.9910551605853499</v>
      </c>
      <c r="C243">
        <v>0.94849040504336701</v>
      </c>
      <c r="D243">
        <v>1.85312163182656</v>
      </c>
      <c r="E243">
        <v>-1.38060978729201</v>
      </c>
      <c r="F243" s="3">
        <v>0.47073708597971398</v>
      </c>
      <c r="G243">
        <f t="shared" si="29"/>
        <v>2.48170034254577</v>
      </c>
      <c r="H243" t="str">
        <f>IF(F243&gt;$T$2,"buy",IF(F243&lt;0,"sell","keep"))</f>
        <v>buy</v>
      </c>
      <c r="I243" t="str">
        <f t="shared" si="31"/>
        <v>buy</v>
      </c>
      <c r="J243">
        <f t="shared" si="30"/>
        <v>1</v>
      </c>
      <c r="K243" t="str">
        <f t="shared" si="32"/>
        <v>buy</v>
      </c>
      <c r="L243">
        <f t="shared" si="27"/>
        <v>1</v>
      </c>
      <c r="M243">
        <f t="shared" si="28"/>
        <v>0</v>
      </c>
      <c r="N243">
        <f t="shared" si="33"/>
        <v>1</v>
      </c>
      <c r="O243">
        <f t="shared" si="34"/>
        <v>0</v>
      </c>
      <c r="P243">
        <f t="shared" si="35"/>
        <v>1175.0833173861863</v>
      </c>
      <c r="Q243">
        <f>Q242+(Q242*E243/100)</f>
        <v>1303.3820368954346</v>
      </c>
    </row>
    <row r="244" spans="1:17" x14ac:dyDescent="0.25">
      <c r="A244" s="1">
        <v>45418</v>
      </c>
      <c r="B244">
        <v>1.1333731437136401</v>
      </c>
      <c r="C244">
        <v>0.71292020593196603</v>
      </c>
      <c r="D244">
        <v>-0.64715361660051496</v>
      </c>
      <c r="E244">
        <v>2.48170034254577</v>
      </c>
      <c r="F244" s="3">
        <v>0.19174646945302901</v>
      </c>
      <c r="G244">
        <f t="shared" si="29"/>
        <v>1.33498769088609</v>
      </c>
      <c r="H244" t="str">
        <f>IF(F244&gt;$T$2,"buy",IF(F244&lt;0,"sell","keep"))</f>
        <v>buy</v>
      </c>
      <c r="I244" t="str">
        <f t="shared" si="31"/>
        <v>buy</v>
      </c>
      <c r="J244">
        <f t="shared" si="30"/>
        <v>1</v>
      </c>
      <c r="K244" t="str">
        <f t="shared" si="32"/>
        <v>keep</v>
      </c>
      <c r="L244">
        <f t="shared" si="27"/>
        <v>0</v>
      </c>
      <c r="M244">
        <f t="shared" si="28"/>
        <v>0</v>
      </c>
      <c r="N244">
        <f t="shared" si="33"/>
        <v>0</v>
      </c>
      <c r="O244">
        <f t="shared" si="34"/>
        <v>0</v>
      </c>
      <c r="P244">
        <f t="shared" si="35"/>
        <v>1158.8600020975171</v>
      </c>
      <c r="Q244">
        <f>Q243+(Q243*E244/100)</f>
        <v>1335.7280733697487</v>
      </c>
    </row>
    <row r="245" spans="1:17" x14ac:dyDescent="0.25">
      <c r="A245" s="1">
        <v>45419</v>
      </c>
      <c r="B245">
        <v>-1.17229143467345E-2</v>
      </c>
      <c r="C245">
        <v>0.79227617248818205</v>
      </c>
      <c r="D245">
        <v>-0.110619777255793</v>
      </c>
      <c r="E245">
        <v>1.33498769088609</v>
      </c>
      <c r="F245" s="3">
        <v>0.21029772531378199</v>
      </c>
      <c r="G245">
        <f t="shared" si="29"/>
        <v>1.9607870900864901</v>
      </c>
      <c r="H245" t="str">
        <f>IF(F245&gt;$T$2,"buy",IF(F245&lt;0,"sell","keep"))</f>
        <v>buy</v>
      </c>
      <c r="I245" t="str">
        <f t="shared" si="31"/>
        <v>buy</v>
      </c>
      <c r="J245">
        <f t="shared" si="30"/>
        <v>1</v>
      </c>
      <c r="K245" t="str">
        <f t="shared" si="32"/>
        <v>keep</v>
      </c>
      <c r="L245">
        <f t="shared" si="27"/>
        <v>0</v>
      </c>
      <c r="M245">
        <f t="shared" si="28"/>
        <v>0</v>
      </c>
      <c r="N245">
        <f t="shared" si="33"/>
        <v>0</v>
      </c>
      <c r="O245">
        <f t="shared" si="34"/>
        <v>0</v>
      </c>
      <c r="P245">
        <f t="shared" si="35"/>
        <v>1187.619434739197</v>
      </c>
      <c r="Q245">
        <f>Q244+(Q244*E245/100)</f>
        <v>1353.5598787329448</v>
      </c>
    </row>
    <row r="246" spans="1:17" x14ac:dyDescent="0.25">
      <c r="A246" s="1">
        <v>45420</v>
      </c>
      <c r="B246">
        <v>-3.55939043198749E-2</v>
      </c>
      <c r="C246">
        <v>-0.53254464500241905</v>
      </c>
      <c r="D246">
        <v>-1.2919069270710799</v>
      </c>
      <c r="E246">
        <v>1.9607870900864901</v>
      </c>
      <c r="F246" s="3">
        <v>-0.10360248118811299</v>
      </c>
      <c r="G246">
        <f t="shared" si="29"/>
        <v>0.51081745101959597</v>
      </c>
      <c r="H246" t="str">
        <f>IF(F246&gt;$T$2,"buy",IF(F246&lt;0,"sell","keep"))</f>
        <v>sell</v>
      </c>
      <c r="I246" t="str">
        <f t="shared" si="31"/>
        <v>sell</v>
      </c>
      <c r="J246">
        <f t="shared" si="30"/>
        <v>0</v>
      </c>
      <c r="K246" t="str">
        <f t="shared" si="32"/>
        <v>sell</v>
      </c>
      <c r="L246">
        <f t="shared" si="27"/>
        <v>0</v>
      </c>
      <c r="M246">
        <f t="shared" si="28"/>
        <v>1</v>
      </c>
      <c r="N246">
        <f t="shared" si="33"/>
        <v>0</v>
      </c>
      <c r="O246">
        <f t="shared" si="34"/>
        <v>1210.9061232949214</v>
      </c>
      <c r="P246">
        <f t="shared" si="35"/>
        <v>0</v>
      </c>
      <c r="Q246">
        <f>Q245+(Q245*E246/100)</f>
        <v>1380.1003060917308</v>
      </c>
    </row>
    <row r="247" spans="1:17" x14ac:dyDescent="0.25">
      <c r="A247" s="1">
        <v>45421</v>
      </c>
      <c r="B247">
        <v>0.157319084942253</v>
      </c>
      <c r="C247">
        <v>0.50267252767655002</v>
      </c>
      <c r="D247">
        <v>-3.1176694648649101E-2</v>
      </c>
      <c r="E247">
        <v>0.51081745101959597</v>
      </c>
      <c r="F247" s="3">
        <v>0.19446105829476101</v>
      </c>
      <c r="G247">
        <f t="shared" si="29"/>
        <v>0.80718182715440101</v>
      </c>
      <c r="H247" t="str">
        <f>IF(F247&gt;$T$2,"buy",IF(F247&lt;0,"sell","keep"))</f>
        <v>buy</v>
      </c>
      <c r="I247" t="str">
        <f t="shared" si="31"/>
        <v>buy</v>
      </c>
      <c r="J247">
        <f t="shared" si="30"/>
        <v>1</v>
      </c>
      <c r="K247" t="str">
        <f t="shared" si="32"/>
        <v>buy</v>
      </c>
      <c r="L247">
        <f t="shared" si="27"/>
        <v>1</v>
      </c>
      <c r="M247">
        <f t="shared" si="28"/>
        <v>0</v>
      </c>
      <c r="N247">
        <f t="shared" si="33"/>
        <v>1</v>
      </c>
      <c r="O247">
        <f t="shared" si="34"/>
        <v>0</v>
      </c>
      <c r="P247">
        <f t="shared" si="35"/>
        <v>1210.9061232949214</v>
      </c>
      <c r="Q247">
        <f>Q246+(Q246*E247/100)</f>
        <v>1387.1500992968222</v>
      </c>
    </row>
    <row r="248" spans="1:17" x14ac:dyDescent="0.25">
      <c r="A248" s="1">
        <v>45422</v>
      </c>
      <c r="B248">
        <v>0.26344358024483699</v>
      </c>
      <c r="C248">
        <v>1.05383978289292</v>
      </c>
      <c r="D248">
        <v>0.218224155127244</v>
      </c>
      <c r="E248">
        <v>0.80718182715440101</v>
      </c>
      <c r="F248" s="3">
        <v>0.313493014854068</v>
      </c>
      <c r="G248">
        <f t="shared" si="29"/>
        <v>-8.8981310587676804E-2</v>
      </c>
      <c r="H248" t="str">
        <f>IF(F248&gt;$T$2,"buy",IF(F248&lt;0,"sell","keep"))</f>
        <v>buy</v>
      </c>
      <c r="I248" t="str">
        <f t="shared" si="31"/>
        <v>buy</v>
      </c>
      <c r="J248">
        <f t="shared" si="30"/>
        <v>0</v>
      </c>
      <c r="K248" t="str">
        <f t="shared" si="32"/>
        <v>keep</v>
      </c>
      <c r="L248">
        <f t="shared" si="27"/>
        <v>0</v>
      </c>
      <c r="M248">
        <f t="shared" si="28"/>
        <v>0</v>
      </c>
      <c r="N248">
        <f t="shared" si="33"/>
        <v>0</v>
      </c>
      <c r="O248">
        <f t="shared" si="34"/>
        <v>0</v>
      </c>
      <c r="P248">
        <f t="shared" si="35"/>
        <v>1217.0916430881766</v>
      </c>
      <c r="Q248">
        <f>Q247+(Q247*E248/100)</f>
        <v>1398.3469228137003</v>
      </c>
    </row>
    <row r="249" spans="1:17" x14ac:dyDescent="0.25">
      <c r="A249" s="1">
        <v>45425</v>
      </c>
      <c r="B249">
        <v>0.20609722575324299</v>
      </c>
      <c r="C249">
        <v>8.9776585355405503E-2</v>
      </c>
      <c r="D249">
        <v>0.32969098685466902</v>
      </c>
      <c r="E249">
        <v>-8.8981310587676804E-2</v>
      </c>
      <c r="F249" s="3">
        <v>0.167036253849556</v>
      </c>
      <c r="G249">
        <f t="shared" si="29"/>
        <v>-0.80142573236979797</v>
      </c>
      <c r="H249" t="str">
        <f>IF(F249&gt;$T$2,"buy",IF(F249&lt;0,"sell","keep"))</f>
        <v>buy</v>
      </c>
      <c r="I249" t="str">
        <f t="shared" si="31"/>
        <v>buy</v>
      </c>
      <c r="J249">
        <f t="shared" si="30"/>
        <v>0</v>
      </c>
      <c r="K249" t="str">
        <f t="shared" si="32"/>
        <v>keep</v>
      </c>
      <c r="L249">
        <f t="shared" si="27"/>
        <v>0</v>
      </c>
      <c r="M249">
        <f t="shared" si="28"/>
        <v>0</v>
      </c>
      <c r="N249">
        <f t="shared" si="33"/>
        <v>0</v>
      </c>
      <c r="O249">
        <f t="shared" si="34"/>
        <v>0</v>
      </c>
      <c r="P249">
        <f t="shared" si="35"/>
        <v>1226.9157856509994</v>
      </c>
      <c r="Q249">
        <f>Q248+(Q248*E249/100)</f>
        <v>1397.1026553952183</v>
      </c>
    </row>
    <row r="250" spans="1:17" x14ac:dyDescent="0.25">
      <c r="A250" s="1">
        <v>45426</v>
      </c>
      <c r="B250">
        <v>0.68225079011017198</v>
      </c>
      <c r="C250">
        <v>-0.614117200601349</v>
      </c>
      <c r="D250">
        <v>0.19220235970518401</v>
      </c>
      <c r="E250">
        <v>-0.80142573236979797</v>
      </c>
      <c r="F250" s="3">
        <v>6.1235258226120498E-2</v>
      </c>
      <c r="G250">
        <f t="shared" si="29"/>
        <v>-0.1496054053716</v>
      </c>
      <c r="H250" t="str">
        <f>IF(F250&gt;$T$2,"buy",IF(F250&lt;0,"sell","keep"))</f>
        <v>keep</v>
      </c>
      <c r="I250" t="str">
        <f t="shared" si="31"/>
        <v>sell</v>
      </c>
      <c r="J250">
        <f t="shared" si="30"/>
        <v>0</v>
      </c>
      <c r="K250" t="str">
        <f t="shared" si="32"/>
        <v>sell</v>
      </c>
      <c r="L250">
        <f t="shared" si="27"/>
        <v>0</v>
      </c>
      <c r="M250">
        <f t="shared" si="28"/>
        <v>1</v>
      </c>
      <c r="N250">
        <f t="shared" si="33"/>
        <v>0</v>
      </c>
      <c r="O250">
        <f t="shared" si="34"/>
        <v>1217.0829668302852</v>
      </c>
      <c r="P250">
        <f t="shared" si="35"/>
        <v>0</v>
      </c>
      <c r="Q250">
        <f>Q249+(Q249*E250/100)</f>
        <v>1385.9059152072593</v>
      </c>
    </row>
    <row r="251" spans="1:17" x14ac:dyDescent="0.25">
      <c r="A251" s="1">
        <v>45427</v>
      </c>
      <c r="B251">
        <v>1.49475688654976</v>
      </c>
      <c r="C251">
        <v>-0.29851800682778501</v>
      </c>
      <c r="D251">
        <v>1.3614757501600701</v>
      </c>
      <c r="E251">
        <v>-0.1496054053716</v>
      </c>
      <c r="F251" s="3">
        <v>0.25667812599402701</v>
      </c>
      <c r="G251">
        <f t="shared" si="29"/>
        <v>0.53940929266020898</v>
      </c>
      <c r="H251" t="str">
        <f>IF(F251&gt;$T$2,"buy",IF(F251&lt;0,"sell","keep"))</f>
        <v>buy</v>
      </c>
      <c r="I251" t="str">
        <f t="shared" si="31"/>
        <v>buy</v>
      </c>
      <c r="J251">
        <f t="shared" si="30"/>
        <v>1</v>
      </c>
      <c r="K251" t="str">
        <f t="shared" si="32"/>
        <v>buy</v>
      </c>
      <c r="L251">
        <f t="shared" si="27"/>
        <v>1</v>
      </c>
      <c r="M251">
        <f t="shared" si="28"/>
        <v>0</v>
      </c>
      <c r="N251">
        <f t="shared" si="33"/>
        <v>1</v>
      </c>
      <c r="O251">
        <f t="shared" si="34"/>
        <v>0</v>
      </c>
      <c r="P251">
        <f t="shared" si="35"/>
        <v>1217.0829668302852</v>
      </c>
      <c r="Q251">
        <f>Q250+(Q250*E251/100)</f>
        <v>1383.8325250447444</v>
      </c>
    </row>
    <row r="252" spans="1:17" x14ac:dyDescent="0.25">
      <c r="A252" s="1">
        <v>45428</v>
      </c>
      <c r="B252">
        <v>-0.208045278651392</v>
      </c>
      <c r="C252">
        <v>-0.26230230333214</v>
      </c>
      <c r="D252">
        <v>0.34191225069557502</v>
      </c>
      <c r="E252">
        <v>0.53940929266020898</v>
      </c>
      <c r="F252" s="3">
        <v>8.9628527301852307E-2</v>
      </c>
      <c r="G252">
        <f t="shared" si="29"/>
        <v>0.41728034506018902</v>
      </c>
      <c r="H252" t="str">
        <f>IF(F252&gt;$T$2,"buy",IF(F252&lt;0,"sell","keep"))</f>
        <v>keep</v>
      </c>
      <c r="I252" t="str">
        <f t="shared" si="31"/>
        <v>sell</v>
      </c>
      <c r="J252">
        <f t="shared" si="30"/>
        <v>1</v>
      </c>
      <c r="K252" t="str">
        <f t="shared" si="32"/>
        <v>sell</v>
      </c>
      <c r="L252">
        <f t="shared" si="27"/>
        <v>0</v>
      </c>
      <c r="M252">
        <f t="shared" si="28"/>
        <v>1</v>
      </c>
      <c r="N252">
        <f t="shared" si="33"/>
        <v>1</v>
      </c>
      <c r="O252">
        <f t="shared" si="34"/>
        <v>1223.6480254527523</v>
      </c>
      <c r="P252">
        <f t="shared" si="35"/>
        <v>0</v>
      </c>
      <c r="Q252">
        <f>Q251+(Q251*E252/100)</f>
        <v>1391.2970462796902</v>
      </c>
    </row>
    <row r="253" spans="1:17" x14ac:dyDescent="0.25">
      <c r="A253" s="1">
        <v>45429</v>
      </c>
      <c r="B253">
        <v>-6.3209901074290295E-2</v>
      </c>
      <c r="C253">
        <v>0.65862808383234595</v>
      </c>
      <c r="D253">
        <v>1.2595093070925301</v>
      </c>
      <c r="E253">
        <v>0.41728034506018902</v>
      </c>
      <c r="F253" s="3">
        <v>0.33010331779560598</v>
      </c>
      <c r="G253">
        <f t="shared" si="29"/>
        <v>0.17809725804180901</v>
      </c>
      <c r="H253" t="str">
        <f>IF(F253&gt;$T$2,"buy",IF(F253&lt;0,"sell","keep"))</f>
        <v>buy</v>
      </c>
      <c r="I253" t="str">
        <f t="shared" si="31"/>
        <v>buy</v>
      </c>
      <c r="J253">
        <f t="shared" si="30"/>
        <v>1</v>
      </c>
      <c r="K253" t="str">
        <f t="shared" si="32"/>
        <v>buy</v>
      </c>
      <c r="L253">
        <f t="shared" si="27"/>
        <v>1</v>
      </c>
      <c r="M253">
        <f t="shared" si="28"/>
        <v>0</v>
      </c>
      <c r="N253">
        <f t="shared" si="33"/>
        <v>1</v>
      </c>
      <c r="O253">
        <f t="shared" si="34"/>
        <v>0</v>
      </c>
      <c r="P253">
        <f t="shared" si="35"/>
        <v>1223.6480254527523</v>
      </c>
      <c r="Q253">
        <f>Q252+(Q252*E253/100)</f>
        <v>1397.1026553952183</v>
      </c>
    </row>
    <row r="254" spans="1:17" x14ac:dyDescent="0.25">
      <c r="A254" s="1">
        <v>45432</v>
      </c>
      <c r="B254">
        <v>0.68994604909395896</v>
      </c>
      <c r="C254">
        <v>2.07839309038115E-2</v>
      </c>
      <c r="D254">
        <v>-1.11767407024375</v>
      </c>
      <c r="E254">
        <v>0.17809725804180901</v>
      </c>
      <c r="F254" s="3">
        <v>3.8467082692085298E-2</v>
      </c>
      <c r="G254">
        <f t="shared" si="29"/>
        <v>0.47407772574150597</v>
      </c>
      <c r="H254" t="str">
        <f>IF(F254&gt;$T$2,"buy",IF(F254&lt;0,"sell","keep"))</f>
        <v>keep</v>
      </c>
      <c r="I254" t="str">
        <f t="shared" si="31"/>
        <v>sell</v>
      </c>
      <c r="J254">
        <f t="shared" si="30"/>
        <v>1</v>
      </c>
      <c r="K254" t="str">
        <f t="shared" si="32"/>
        <v>sell</v>
      </c>
      <c r="L254">
        <f t="shared" si="27"/>
        <v>0</v>
      </c>
      <c r="M254">
        <f t="shared" si="28"/>
        <v>1</v>
      </c>
      <c r="N254">
        <f t="shared" si="33"/>
        <v>1</v>
      </c>
      <c r="O254">
        <f t="shared" si="34"/>
        <v>1225.8273090341663</v>
      </c>
      <c r="P254">
        <f t="shared" si="35"/>
        <v>0</v>
      </c>
      <c r="Q254">
        <f>Q253+(Q253*E254/100)</f>
        <v>1399.5908569165065</v>
      </c>
    </row>
    <row r="255" spans="1:17" x14ac:dyDescent="0.25">
      <c r="A255" s="1">
        <v>45433</v>
      </c>
      <c r="B255">
        <v>0.21211805858791699</v>
      </c>
      <c r="C255">
        <v>0.56172053456418003</v>
      </c>
      <c r="D255">
        <v>-0.99050969022437196</v>
      </c>
      <c r="E255">
        <v>0.47407772574150597</v>
      </c>
      <c r="F255" s="3">
        <v>0.115226479426366</v>
      </c>
      <c r="G255">
        <f t="shared" si="29"/>
        <v>-1.03214071245797</v>
      </c>
      <c r="H255" t="str">
        <f>IF(F255&gt;$T$2,"buy",IF(F255&lt;0,"sell","keep"))</f>
        <v>keep</v>
      </c>
      <c r="I255" t="str">
        <f t="shared" si="31"/>
        <v>sell</v>
      </c>
      <c r="J255">
        <f t="shared" si="30"/>
        <v>0</v>
      </c>
      <c r="K255" t="str">
        <f t="shared" si="32"/>
        <v>keep</v>
      </c>
      <c r="L255">
        <f t="shared" si="27"/>
        <v>0</v>
      </c>
      <c r="M255">
        <f t="shared" si="28"/>
        <v>0</v>
      </c>
      <c r="N255">
        <f t="shared" si="33"/>
        <v>0</v>
      </c>
      <c r="O255">
        <f t="shared" si="34"/>
        <v>1225.8273090341663</v>
      </c>
      <c r="P255">
        <f t="shared" si="35"/>
        <v>0</v>
      </c>
      <c r="Q255">
        <f>Q254+(Q254*E255/100)</f>
        <v>1406.2260054206622</v>
      </c>
    </row>
    <row r="256" spans="1:17" x14ac:dyDescent="0.25">
      <c r="A256" s="1">
        <v>45434</v>
      </c>
      <c r="B256">
        <v>-4.5963738743115497E-2</v>
      </c>
      <c r="C256">
        <v>-5.7456122980214998E-2</v>
      </c>
      <c r="D256">
        <v>-2.0376923791779999</v>
      </c>
      <c r="E256">
        <v>-1.03214071245797</v>
      </c>
      <c r="F256" s="3">
        <v>-0.103661442481817</v>
      </c>
      <c r="G256">
        <f t="shared" si="29"/>
        <v>-0.53634941112213896</v>
      </c>
      <c r="H256" t="str">
        <f>IF(F256&gt;$T$2,"buy",IF(F256&lt;0,"sell","keep"))</f>
        <v>sell</v>
      </c>
      <c r="I256" t="str">
        <f t="shared" si="31"/>
        <v>sell</v>
      </c>
      <c r="J256">
        <f t="shared" si="30"/>
        <v>1</v>
      </c>
      <c r="K256" t="str">
        <f t="shared" si="32"/>
        <v>keep</v>
      </c>
      <c r="L256">
        <f t="shared" ref="L256:L319" si="36">IF(K256="buy",1,0)</f>
        <v>0</v>
      </c>
      <c r="M256">
        <f t="shared" ref="M256:M319" si="37">IF(K256="sell",1,0)</f>
        <v>0</v>
      </c>
      <c r="N256">
        <f t="shared" si="33"/>
        <v>0</v>
      </c>
      <c r="O256">
        <f t="shared" si="34"/>
        <v>1225.8273090341663</v>
      </c>
      <c r="P256">
        <f t="shared" si="35"/>
        <v>0</v>
      </c>
      <c r="Q256">
        <f>Q255+(Q255*E256/100)</f>
        <v>1391.7117743095441</v>
      </c>
    </row>
    <row r="257" spans="1:17" x14ac:dyDescent="0.25">
      <c r="A257" s="1">
        <v>45435</v>
      </c>
      <c r="B257">
        <v>-0.43735751110308602</v>
      </c>
      <c r="C257">
        <v>-0.57270913474515295</v>
      </c>
      <c r="D257">
        <v>-0.84578501038283704</v>
      </c>
      <c r="E257">
        <v>-0.53634941112213896</v>
      </c>
      <c r="F257" s="3">
        <v>-8.8991719400437097E-2</v>
      </c>
      <c r="G257">
        <f t="shared" si="29"/>
        <v>0.65906574632756898</v>
      </c>
      <c r="H257" t="str">
        <f>IF(F257&gt;$T$2,"buy",IF(F257&lt;0,"sell","keep"))</f>
        <v>sell</v>
      </c>
      <c r="I257" t="str">
        <f t="shared" si="31"/>
        <v>sell</v>
      </c>
      <c r="J257">
        <f t="shared" si="30"/>
        <v>0</v>
      </c>
      <c r="K257" t="str">
        <f t="shared" si="32"/>
        <v>keep</v>
      </c>
      <c r="L257">
        <f t="shared" si="36"/>
        <v>0</v>
      </c>
      <c r="M257">
        <f t="shared" si="37"/>
        <v>0</v>
      </c>
      <c r="N257">
        <f t="shared" si="33"/>
        <v>0</v>
      </c>
      <c r="O257">
        <f t="shared" si="34"/>
        <v>1225.8273090341663</v>
      </c>
      <c r="P257">
        <f t="shared" si="35"/>
        <v>0</v>
      </c>
      <c r="Q257">
        <f>Q256+(Q256*E257/100)</f>
        <v>1384.2473364035175</v>
      </c>
    </row>
    <row r="258" spans="1:17" x14ac:dyDescent="0.25">
      <c r="A258" s="1">
        <v>45436</v>
      </c>
      <c r="B258">
        <v>0.99315419033691998</v>
      </c>
      <c r="C258">
        <v>0.75642925880272605</v>
      </c>
      <c r="D258">
        <v>-0.75825706984697905</v>
      </c>
      <c r="E258">
        <v>0.65906574632756898</v>
      </c>
      <c r="F258" s="3">
        <v>0.195563497502699</v>
      </c>
      <c r="G258">
        <f t="shared" ref="G258:G321" si="38">E259</f>
        <v>-0.98891001133868395</v>
      </c>
      <c r="H258" t="str">
        <f>IF(F258&gt;$T$2,"buy",IF(F258&lt;0,"sell","keep"))</f>
        <v>buy</v>
      </c>
      <c r="I258" t="str">
        <f t="shared" si="31"/>
        <v>buy</v>
      </c>
      <c r="J258">
        <f t="shared" ref="J258:J321" si="39">IF(OR(AND(F258&lt;0,G258&lt;0),AND(F258&gt;0,G258&gt;0)),1,0)</f>
        <v>0</v>
      </c>
      <c r="K258" t="str">
        <f t="shared" si="32"/>
        <v>buy</v>
      </c>
      <c r="L258">
        <f t="shared" si="36"/>
        <v>1</v>
      </c>
      <c r="M258">
        <f t="shared" si="37"/>
        <v>0</v>
      </c>
      <c r="N258">
        <f t="shared" si="33"/>
        <v>0</v>
      </c>
      <c r="O258">
        <f t="shared" si="34"/>
        <v>0</v>
      </c>
      <c r="P258">
        <f t="shared" si="35"/>
        <v>1225.8273090341663</v>
      </c>
      <c r="Q258">
        <f>Q257+(Q257*E258/100)</f>
        <v>1393.3704364422049</v>
      </c>
    </row>
    <row r="259" spans="1:17" x14ac:dyDescent="0.25">
      <c r="A259" s="1">
        <v>45441</v>
      </c>
      <c r="B259">
        <v>-0.70319764110970895</v>
      </c>
      <c r="C259">
        <v>-0.86992753725779703</v>
      </c>
      <c r="D259">
        <v>-0.35404780197841801</v>
      </c>
      <c r="E259">
        <v>-0.98891001133868395</v>
      </c>
      <c r="F259" s="3">
        <v>-9.3282092351852003E-2</v>
      </c>
      <c r="G259">
        <f t="shared" si="38"/>
        <v>0.12106934390048101</v>
      </c>
      <c r="H259" t="str">
        <f>IF(F259&gt;$T$2,"buy",IF(F259&lt;0,"sell","keep"))</f>
        <v>sell</v>
      </c>
      <c r="I259" t="str">
        <f t="shared" ref="I259:I322" si="40">IF(F259&gt;$T$2,"buy",IF(F259&lt;$T$3,"sell","keep"))</f>
        <v>sell</v>
      </c>
      <c r="J259">
        <f t="shared" si="39"/>
        <v>0</v>
      </c>
      <c r="K259" t="str">
        <f t="shared" ref="K259:K322" si="41">IF(AND(I259="sell",P258&lt;&gt;0),"sell",IF(AND(I259="buy",O258&lt;&gt;0),"buy","keep"))</f>
        <v>sell</v>
      </c>
      <c r="L259">
        <f t="shared" si="36"/>
        <v>0</v>
      </c>
      <c r="M259">
        <f t="shared" si="37"/>
        <v>1</v>
      </c>
      <c r="N259">
        <f t="shared" ref="N259:N322" si="42">IF(AND(J259=1,OR(L259=1,M259=1)),1,0)</f>
        <v>0</v>
      </c>
      <c r="O259">
        <f t="shared" si="34"/>
        <v>1213.7049800534039</v>
      </c>
      <c r="P259">
        <f t="shared" si="35"/>
        <v>0</v>
      </c>
      <c r="Q259">
        <f>Q258+(Q258*E259/100)</f>
        <v>1379.5912567011944</v>
      </c>
    </row>
    <row r="260" spans="1:17" x14ac:dyDescent="0.25">
      <c r="A260" s="1">
        <v>45442</v>
      </c>
      <c r="B260">
        <v>-1.0572262732330799</v>
      </c>
      <c r="C260">
        <v>0.92213555244675605</v>
      </c>
      <c r="D260">
        <v>0.98195035888370896</v>
      </c>
      <c r="E260">
        <v>0.12106934390048101</v>
      </c>
      <c r="F260" s="3">
        <v>0.29207269775587202</v>
      </c>
      <c r="G260">
        <f t="shared" si="38"/>
        <v>-9.0696763259645596E-2</v>
      </c>
      <c r="H260" t="str">
        <f>IF(F260&gt;$T$2,"buy",IF(F260&lt;0,"sell","keep"))</f>
        <v>buy</v>
      </c>
      <c r="I260" t="str">
        <f t="shared" si="40"/>
        <v>buy</v>
      </c>
      <c r="J260">
        <f t="shared" si="39"/>
        <v>0</v>
      </c>
      <c r="K260" t="str">
        <f t="shared" si="41"/>
        <v>buy</v>
      </c>
      <c r="L260">
        <f t="shared" si="36"/>
        <v>1</v>
      </c>
      <c r="M260">
        <f t="shared" si="37"/>
        <v>0</v>
      </c>
      <c r="N260">
        <f t="shared" si="42"/>
        <v>0</v>
      </c>
      <c r="O260">
        <f t="shared" ref="O260:O323" si="43">IF(K260="sell",P259+(P259*E260/100),IF(K260="buy",0,O259))</f>
        <v>0</v>
      </c>
      <c r="P260">
        <f t="shared" ref="P260:P323" si="44">IF(K260="buy",O259,IF(K260="sell",0,IF(AND(K260="keep",P259&lt;&gt;0),P259+(P259*E259/100),P259)))</f>
        <v>1213.7049800534039</v>
      </c>
      <c r="Q260">
        <f>Q259+(Q259*E260/100)</f>
        <v>1381.2615187841909</v>
      </c>
    </row>
    <row r="261" spans="1:17" x14ac:dyDescent="0.25">
      <c r="A261" s="1">
        <v>45443</v>
      </c>
      <c r="B261">
        <v>-1.08409432400202E-2</v>
      </c>
      <c r="C261">
        <v>1.2578188686546099</v>
      </c>
      <c r="D261">
        <v>3.1540070705819101</v>
      </c>
      <c r="E261">
        <v>-9.0696763259645596E-2</v>
      </c>
      <c r="F261" s="3">
        <v>0.60310315184271002</v>
      </c>
      <c r="G261">
        <f t="shared" si="38"/>
        <v>0.272319051164782</v>
      </c>
      <c r="H261" t="str">
        <f>IF(F261&gt;$T$2,"buy",IF(F261&lt;0,"sell","keep"))</f>
        <v>buy</v>
      </c>
      <c r="I261" t="str">
        <f t="shared" si="40"/>
        <v>buy</v>
      </c>
      <c r="J261">
        <f t="shared" si="39"/>
        <v>1</v>
      </c>
      <c r="K261" t="str">
        <f t="shared" si="41"/>
        <v>keep</v>
      </c>
      <c r="L261">
        <f t="shared" si="36"/>
        <v>0</v>
      </c>
      <c r="M261">
        <f t="shared" si="37"/>
        <v>0</v>
      </c>
      <c r="N261">
        <f t="shared" si="42"/>
        <v>0</v>
      </c>
      <c r="O261">
        <f t="shared" si="43"/>
        <v>0</v>
      </c>
      <c r="P261">
        <f t="shared" si="44"/>
        <v>1215.174404709642</v>
      </c>
      <c r="Q261">
        <f>Q260+(Q260*E261/100)</f>
        <v>1380.0087592945026</v>
      </c>
    </row>
    <row r="262" spans="1:17" x14ac:dyDescent="0.25">
      <c r="A262" s="1">
        <v>45446</v>
      </c>
      <c r="B262">
        <v>0.346989942328157</v>
      </c>
      <c r="C262">
        <v>-0.27323931750731201</v>
      </c>
      <c r="D262">
        <v>-0.65119151938494102</v>
      </c>
      <c r="E262">
        <v>0.272319051164782</v>
      </c>
      <c r="F262" s="3">
        <v>1.53274686249627E-2</v>
      </c>
      <c r="G262">
        <f t="shared" si="38"/>
        <v>-1.14665480343107</v>
      </c>
      <c r="H262" t="str">
        <f>IF(F262&gt;$T$2,"buy",IF(F262&lt;0,"sell","keep"))</f>
        <v>keep</v>
      </c>
      <c r="I262" t="str">
        <f t="shared" si="40"/>
        <v>sell</v>
      </c>
      <c r="J262">
        <f t="shared" si="39"/>
        <v>0</v>
      </c>
      <c r="K262" t="str">
        <f t="shared" si="41"/>
        <v>sell</v>
      </c>
      <c r="L262">
        <f t="shared" si="36"/>
        <v>0</v>
      </c>
      <c r="M262">
        <f t="shared" si="37"/>
        <v>1</v>
      </c>
      <c r="N262">
        <f t="shared" si="42"/>
        <v>0</v>
      </c>
      <c r="O262">
        <f t="shared" si="43"/>
        <v>1218.4835561185446</v>
      </c>
      <c r="P262">
        <f t="shared" si="44"/>
        <v>0</v>
      </c>
      <c r="Q262">
        <f>Q261+(Q261*E262/100)</f>
        <v>1383.7667860538043</v>
      </c>
    </row>
    <row r="263" spans="1:17" x14ac:dyDescent="0.25">
      <c r="A263" s="1">
        <v>45447</v>
      </c>
      <c r="B263">
        <v>0.28960392167034499</v>
      </c>
      <c r="C263">
        <v>-0.41575741591084397</v>
      </c>
      <c r="D263">
        <v>1.2172882960723701</v>
      </c>
      <c r="E263">
        <v>-1.14665480343107</v>
      </c>
      <c r="F263" s="3">
        <v>0.17166734498946501</v>
      </c>
      <c r="G263">
        <f t="shared" si="38"/>
        <v>1.0683789255400999</v>
      </c>
      <c r="H263" t="str">
        <f>IF(F263&gt;$T$2,"buy",IF(F263&lt;0,"sell","keep"))</f>
        <v>buy</v>
      </c>
      <c r="I263" t="str">
        <f t="shared" si="40"/>
        <v>buy</v>
      </c>
      <c r="J263">
        <f t="shared" si="39"/>
        <v>1</v>
      </c>
      <c r="K263" t="str">
        <f t="shared" si="41"/>
        <v>buy</v>
      </c>
      <c r="L263">
        <f t="shared" si="36"/>
        <v>1</v>
      </c>
      <c r="M263">
        <f t="shared" si="37"/>
        <v>0</v>
      </c>
      <c r="N263">
        <f t="shared" si="42"/>
        <v>1</v>
      </c>
      <c r="O263">
        <f t="shared" si="43"/>
        <v>0</v>
      </c>
      <c r="P263">
        <f t="shared" si="44"/>
        <v>1218.4835561185446</v>
      </c>
      <c r="Q263">
        <f>Q262+(Q262*E263/100)</f>
        <v>1367.8997577332345</v>
      </c>
    </row>
    <row r="264" spans="1:17" x14ac:dyDescent="0.25">
      <c r="A264" s="1">
        <v>45448</v>
      </c>
      <c r="B264">
        <v>2.0381356295984698</v>
      </c>
      <c r="C264">
        <v>0.91385627459001895</v>
      </c>
      <c r="D264">
        <v>2.0352860417795799</v>
      </c>
      <c r="E264">
        <v>1.0683789255400999</v>
      </c>
      <c r="F264" s="3">
        <v>0.54023254844510304</v>
      </c>
      <c r="G264">
        <f t="shared" si="38"/>
        <v>0.90607307100800605</v>
      </c>
      <c r="H264" t="str">
        <f>IF(F264&gt;$T$2,"buy",IF(F264&lt;0,"sell","keep"))</f>
        <v>buy</v>
      </c>
      <c r="I264" t="str">
        <f t="shared" si="40"/>
        <v>buy</v>
      </c>
      <c r="J264">
        <f t="shared" si="39"/>
        <v>1</v>
      </c>
      <c r="K264" t="str">
        <f t="shared" si="41"/>
        <v>keep</v>
      </c>
      <c r="L264">
        <f t="shared" si="36"/>
        <v>0</v>
      </c>
      <c r="M264">
        <f t="shared" si="37"/>
        <v>0</v>
      </c>
      <c r="N264">
        <f t="shared" si="42"/>
        <v>0</v>
      </c>
      <c r="O264">
        <f t="shared" si="43"/>
        <v>0</v>
      </c>
      <c r="P264">
        <f t="shared" si="44"/>
        <v>1204.5117558932936</v>
      </c>
      <c r="Q264">
        <f>Q263+(Q263*E264/100)</f>
        <v>1382.5141104673705</v>
      </c>
    </row>
    <row r="265" spans="1:17" x14ac:dyDescent="0.25">
      <c r="A265" s="1">
        <v>45449</v>
      </c>
      <c r="B265">
        <v>-7.2820021781361197E-2</v>
      </c>
      <c r="C265">
        <v>-0.282702068833939</v>
      </c>
      <c r="D265">
        <v>1.8919200930445501</v>
      </c>
      <c r="E265">
        <v>0.90607307100800605</v>
      </c>
      <c r="F265" s="3">
        <v>0.25592102873081701</v>
      </c>
      <c r="G265">
        <f t="shared" si="38"/>
        <v>-0.68841964982149195</v>
      </c>
      <c r="H265" t="str">
        <f>IF(F265&gt;$T$2,"buy",IF(F265&lt;0,"sell","keep"))</f>
        <v>buy</v>
      </c>
      <c r="I265" t="str">
        <f t="shared" si="40"/>
        <v>buy</v>
      </c>
      <c r="J265">
        <f t="shared" si="39"/>
        <v>0</v>
      </c>
      <c r="K265" t="str">
        <f t="shared" si="41"/>
        <v>keep</v>
      </c>
      <c r="L265">
        <f t="shared" si="36"/>
        <v>0</v>
      </c>
      <c r="M265">
        <f t="shared" si="37"/>
        <v>0</v>
      </c>
      <c r="N265">
        <f t="shared" si="42"/>
        <v>0</v>
      </c>
      <c r="O265">
        <f t="shared" si="43"/>
        <v>0</v>
      </c>
      <c r="P265">
        <f t="shared" si="44"/>
        <v>1217.3805056489107</v>
      </c>
      <c r="Q265">
        <f>Q264+(Q264*E265/100)</f>
        <v>1395.0406985252012</v>
      </c>
    </row>
    <row r="266" spans="1:17" x14ac:dyDescent="0.25">
      <c r="A266" s="1">
        <v>45450</v>
      </c>
      <c r="B266">
        <v>-0.10640887850299401</v>
      </c>
      <c r="C266">
        <v>-3.45809487514947E-2</v>
      </c>
      <c r="D266">
        <v>0.50424306189060797</v>
      </c>
      <c r="E266">
        <v>-0.68841964982149195</v>
      </c>
      <c r="F266" s="3">
        <v>0.13828524195751701</v>
      </c>
      <c r="G266">
        <f t="shared" si="38"/>
        <v>-2.56177889048264</v>
      </c>
      <c r="H266" t="str">
        <f>IF(F266&gt;$T$2,"buy",IF(F266&lt;0,"sell","keep"))</f>
        <v>keep</v>
      </c>
      <c r="I266" t="str">
        <f t="shared" si="40"/>
        <v>sell</v>
      </c>
      <c r="J266">
        <f t="shared" si="39"/>
        <v>0</v>
      </c>
      <c r="K266" t="str">
        <f t="shared" si="41"/>
        <v>sell</v>
      </c>
      <c r="L266">
        <f t="shared" si="36"/>
        <v>0</v>
      </c>
      <c r="M266">
        <f t="shared" si="37"/>
        <v>1</v>
      </c>
      <c r="N266">
        <f t="shared" si="42"/>
        <v>0</v>
      </c>
      <c r="O266">
        <f t="shared" si="43"/>
        <v>1208.9998190349274</v>
      </c>
      <c r="P266">
        <f t="shared" si="44"/>
        <v>0</v>
      </c>
      <c r="Q266">
        <f>Q265+(Q265*E266/100)</f>
        <v>1385.4369642335466</v>
      </c>
    </row>
    <row r="267" spans="1:17" x14ac:dyDescent="0.25">
      <c r="A267" s="1">
        <v>45453</v>
      </c>
      <c r="B267">
        <v>0.38798431739532901</v>
      </c>
      <c r="C267">
        <v>-0.39197886374553398</v>
      </c>
      <c r="D267">
        <v>0.61385288196189602</v>
      </c>
      <c r="E267">
        <v>-2.56177889048264</v>
      </c>
      <c r="F267" s="3">
        <v>0.109691397472716</v>
      </c>
      <c r="G267">
        <f t="shared" si="38"/>
        <v>-1.6393497643714401</v>
      </c>
      <c r="H267" t="str">
        <f>IF(F267&gt;$T$2,"buy",IF(F267&lt;0,"sell","keep"))</f>
        <v>keep</v>
      </c>
      <c r="I267" t="str">
        <f t="shared" si="40"/>
        <v>sell</v>
      </c>
      <c r="J267">
        <f t="shared" si="39"/>
        <v>0</v>
      </c>
      <c r="K267" t="str">
        <f t="shared" si="41"/>
        <v>keep</v>
      </c>
      <c r="L267">
        <f t="shared" si="36"/>
        <v>0</v>
      </c>
      <c r="M267">
        <f t="shared" si="37"/>
        <v>0</v>
      </c>
      <c r="N267">
        <f t="shared" si="42"/>
        <v>0</v>
      </c>
      <c r="O267">
        <f t="shared" si="43"/>
        <v>1208.9998190349274</v>
      </c>
      <c r="P267">
        <f t="shared" si="44"/>
        <v>0</v>
      </c>
      <c r="Q267">
        <f>Q266+(Q266*E267/100)</f>
        <v>1349.9451325428681</v>
      </c>
    </row>
    <row r="268" spans="1:17" x14ac:dyDescent="0.25">
      <c r="A268" s="1">
        <v>45454</v>
      </c>
      <c r="B268">
        <v>0.71041735547725504</v>
      </c>
      <c r="C268">
        <v>0.80556684501491505</v>
      </c>
      <c r="D268">
        <v>-1.6191448098805901</v>
      </c>
      <c r="E268">
        <v>-1.6393497643714401</v>
      </c>
      <c r="F268" s="3">
        <v>8.8557397774741503E-2</v>
      </c>
      <c r="G268">
        <f t="shared" si="38"/>
        <v>1.41509809519368</v>
      </c>
      <c r="H268" t="str">
        <f>IF(F268&gt;$T$2,"buy",IF(F268&lt;0,"sell","keep"))</f>
        <v>keep</v>
      </c>
      <c r="I268" t="str">
        <f t="shared" si="40"/>
        <v>sell</v>
      </c>
      <c r="J268">
        <f t="shared" si="39"/>
        <v>1</v>
      </c>
      <c r="K268" t="str">
        <f t="shared" si="41"/>
        <v>keep</v>
      </c>
      <c r="L268">
        <f t="shared" si="36"/>
        <v>0</v>
      </c>
      <c r="M268">
        <f t="shared" si="37"/>
        <v>0</v>
      </c>
      <c r="N268">
        <f t="shared" si="42"/>
        <v>0</v>
      </c>
      <c r="O268">
        <f t="shared" si="43"/>
        <v>1208.9998190349274</v>
      </c>
      <c r="P268">
        <f t="shared" si="44"/>
        <v>0</v>
      </c>
      <c r="Q268">
        <f>Q267+(Q267*E268/100)</f>
        <v>1327.814810193383</v>
      </c>
    </row>
    <row r="269" spans="1:17" x14ac:dyDescent="0.25">
      <c r="A269" s="1">
        <v>45455</v>
      </c>
      <c r="B269">
        <v>1.3274212118168101</v>
      </c>
      <c r="C269">
        <v>-0.30081842702913603</v>
      </c>
      <c r="D269">
        <v>-0.96003762164751305</v>
      </c>
      <c r="E269">
        <v>1.41509809519368</v>
      </c>
      <c r="F269" s="3">
        <v>2.1367775475430801E-2</v>
      </c>
      <c r="G269">
        <f t="shared" si="38"/>
        <v>-4.03100583924987</v>
      </c>
      <c r="H269" t="str">
        <f>IF(F269&gt;$T$2,"buy",IF(F269&lt;0,"sell","keep"))</f>
        <v>keep</v>
      </c>
      <c r="I269" t="str">
        <f t="shared" si="40"/>
        <v>sell</v>
      </c>
      <c r="J269">
        <f t="shared" si="39"/>
        <v>0</v>
      </c>
      <c r="K269" t="str">
        <f t="shared" si="41"/>
        <v>keep</v>
      </c>
      <c r="L269">
        <f t="shared" si="36"/>
        <v>0</v>
      </c>
      <c r="M269">
        <f t="shared" si="37"/>
        <v>0</v>
      </c>
      <c r="N269">
        <f t="shared" si="42"/>
        <v>0</v>
      </c>
      <c r="O269">
        <f t="shared" si="43"/>
        <v>1208.9998190349274</v>
      </c>
      <c r="P269">
        <f t="shared" si="44"/>
        <v>0</v>
      </c>
      <c r="Q269">
        <f>Q268+(Q268*E269/100)</f>
        <v>1346.604692280129</v>
      </c>
    </row>
    <row r="270" spans="1:17" x14ac:dyDescent="0.25">
      <c r="A270" s="1">
        <v>45456</v>
      </c>
      <c r="B270">
        <v>0.57405190277670604</v>
      </c>
      <c r="C270">
        <v>1.2967255655016801</v>
      </c>
      <c r="D270">
        <v>0.28297671260484297</v>
      </c>
      <c r="E270">
        <v>-4.03100583924987</v>
      </c>
      <c r="F270" s="3">
        <v>0.33689163573030001</v>
      </c>
      <c r="G270">
        <f t="shared" si="38"/>
        <v>-4.9111519745091297</v>
      </c>
      <c r="H270" t="str">
        <f>IF(F270&gt;$T$2,"buy",IF(F270&lt;0,"sell","keep"))</f>
        <v>buy</v>
      </c>
      <c r="I270" t="str">
        <f t="shared" si="40"/>
        <v>buy</v>
      </c>
      <c r="J270">
        <f t="shared" si="39"/>
        <v>0</v>
      </c>
      <c r="K270" t="str">
        <f t="shared" si="41"/>
        <v>buy</v>
      </c>
      <c r="L270">
        <f t="shared" si="36"/>
        <v>1</v>
      </c>
      <c r="M270">
        <f t="shared" si="37"/>
        <v>0</v>
      </c>
      <c r="N270">
        <f t="shared" si="42"/>
        <v>0</v>
      </c>
      <c r="O270">
        <f t="shared" si="43"/>
        <v>0</v>
      </c>
      <c r="P270">
        <f t="shared" si="44"/>
        <v>1208.9998190349274</v>
      </c>
      <c r="Q270">
        <f>Q269+(Q269*E270/100)</f>
        <v>1292.3229785027042</v>
      </c>
    </row>
    <row r="271" spans="1:17" x14ac:dyDescent="0.25">
      <c r="A271" s="1">
        <v>45457</v>
      </c>
      <c r="B271">
        <v>0.42336005717829001</v>
      </c>
      <c r="C271">
        <v>-0.64802170504839596</v>
      </c>
      <c r="D271">
        <v>1.2187730424962</v>
      </c>
      <c r="E271">
        <v>-4.9111519745091297</v>
      </c>
      <c r="F271" s="3">
        <v>9.1488008334243795E-2</v>
      </c>
      <c r="G271">
        <f t="shared" si="38"/>
        <v>1.8688394415030001</v>
      </c>
      <c r="H271" t="str">
        <f>IF(F271&gt;$T$2,"buy",IF(F271&lt;0,"sell","keep"))</f>
        <v>keep</v>
      </c>
      <c r="I271" t="str">
        <f t="shared" si="40"/>
        <v>sell</v>
      </c>
      <c r="J271">
        <f t="shared" si="39"/>
        <v>1</v>
      </c>
      <c r="K271" t="str">
        <f t="shared" si="41"/>
        <v>sell</v>
      </c>
      <c r="L271">
        <f t="shared" si="36"/>
        <v>0</v>
      </c>
      <c r="M271">
        <f t="shared" si="37"/>
        <v>1</v>
      </c>
      <c r="N271">
        <f t="shared" si="42"/>
        <v>1</v>
      </c>
      <c r="O271">
        <f t="shared" si="43"/>
        <v>1149.6240005505817</v>
      </c>
      <c r="P271">
        <f t="shared" si="44"/>
        <v>0</v>
      </c>
      <c r="Q271">
        <f>Q270+(Q270*E271/100)</f>
        <v>1228.8550330269336</v>
      </c>
    </row>
    <row r="272" spans="1:17" x14ac:dyDescent="0.25">
      <c r="A272" s="1">
        <v>45460</v>
      </c>
      <c r="B272">
        <v>1.23576643249461</v>
      </c>
      <c r="C272">
        <v>0.84219796608151398</v>
      </c>
      <c r="D272">
        <v>0.64653679834563105</v>
      </c>
      <c r="E272">
        <v>1.8688394415030001</v>
      </c>
      <c r="F272" s="3">
        <v>0.28764495175560001</v>
      </c>
      <c r="G272">
        <f t="shared" si="38"/>
        <v>1.83456126476702</v>
      </c>
      <c r="H272" t="str">
        <f>IF(F272&gt;$T$2,"buy",IF(F272&lt;0,"sell","keep"))</f>
        <v>buy</v>
      </c>
      <c r="I272" t="str">
        <f t="shared" si="40"/>
        <v>buy</v>
      </c>
      <c r="J272">
        <f t="shared" si="39"/>
        <v>1</v>
      </c>
      <c r="K272" t="str">
        <f t="shared" si="41"/>
        <v>buy</v>
      </c>
      <c r="L272">
        <f t="shared" si="36"/>
        <v>1</v>
      </c>
      <c r="M272">
        <f t="shared" si="37"/>
        <v>0</v>
      </c>
      <c r="N272">
        <f t="shared" si="42"/>
        <v>1</v>
      </c>
      <c r="O272">
        <f t="shared" si="43"/>
        <v>0</v>
      </c>
      <c r="P272">
        <f t="shared" si="44"/>
        <v>1149.6240005505817</v>
      </c>
      <c r="Q272">
        <f>Q271+(Q271*E272/100)</f>
        <v>1251.8203605630356</v>
      </c>
    </row>
    <row r="273" spans="1:17" x14ac:dyDescent="0.25">
      <c r="A273" s="1">
        <v>45461</v>
      </c>
      <c r="B273">
        <v>3.0696134956231799E-2</v>
      </c>
      <c r="C273">
        <v>-0.13844791044770299</v>
      </c>
      <c r="D273">
        <v>0.99011186095678805</v>
      </c>
      <c r="E273">
        <v>1.83456126476702</v>
      </c>
      <c r="F273" s="3">
        <v>0.151900633542431</v>
      </c>
      <c r="G273">
        <f t="shared" si="38"/>
        <v>-1.2281881025305299</v>
      </c>
      <c r="H273" t="str">
        <f>IF(F273&gt;$T$2,"buy",IF(F273&lt;0,"sell","keep"))</f>
        <v>buy</v>
      </c>
      <c r="I273" t="str">
        <f t="shared" si="40"/>
        <v>buy</v>
      </c>
      <c r="J273">
        <f t="shared" si="39"/>
        <v>0</v>
      </c>
      <c r="K273" t="str">
        <f t="shared" si="41"/>
        <v>keep</v>
      </c>
      <c r="L273">
        <f t="shared" si="36"/>
        <v>0</v>
      </c>
      <c r="M273">
        <f t="shared" si="37"/>
        <v>0</v>
      </c>
      <c r="N273">
        <f t="shared" si="42"/>
        <v>0</v>
      </c>
      <c r="O273">
        <f t="shared" si="43"/>
        <v>0</v>
      </c>
      <c r="P273">
        <f t="shared" si="44"/>
        <v>1171.1086273018557</v>
      </c>
      <c r="Q273">
        <f>Q272+(Q272*E273/100)</f>
        <v>1274.7857720023919</v>
      </c>
    </row>
    <row r="274" spans="1:17" x14ac:dyDescent="0.25">
      <c r="A274" s="1">
        <v>45464</v>
      </c>
      <c r="B274">
        <v>-0.26260785679832399</v>
      </c>
      <c r="C274">
        <v>2.7111784481204101E-2</v>
      </c>
      <c r="D274">
        <v>-1.0108755034785399</v>
      </c>
      <c r="E274">
        <v>-1.2281881025305299</v>
      </c>
      <c r="F274" s="3">
        <v>-4.71019698570454E-2</v>
      </c>
      <c r="G274">
        <f t="shared" si="38"/>
        <v>1.1125657849791299</v>
      </c>
      <c r="H274" t="str">
        <f>IF(F274&gt;$T$2,"buy",IF(F274&lt;0,"sell","keep"))</f>
        <v>sell</v>
      </c>
      <c r="I274" t="str">
        <f t="shared" si="40"/>
        <v>sell</v>
      </c>
      <c r="J274">
        <f t="shared" si="39"/>
        <v>0</v>
      </c>
      <c r="K274" t="str">
        <f t="shared" si="41"/>
        <v>sell</v>
      </c>
      <c r="L274">
        <f t="shared" si="36"/>
        <v>0</v>
      </c>
      <c r="M274">
        <f t="shared" si="37"/>
        <v>1</v>
      </c>
      <c r="N274">
        <f t="shared" si="42"/>
        <v>0</v>
      </c>
      <c r="O274">
        <f t="shared" si="43"/>
        <v>1156.7252104736258</v>
      </c>
      <c r="P274">
        <f t="shared" si="44"/>
        <v>0</v>
      </c>
      <c r="Q274">
        <f>Q273+(Q273*E274/100)</f>
        <v>1259.1290048179067</v>
      </c>
    </row>
    <row r="275" spans="1:17" x14ac:dyDescent="0.25">
      <c r="A275" s="1">
        <v>45467</v>
      </c>
      <c r="B275">
        <v>-1.14622142997357</v>
      </c>
      <c r="C275">
        <v>8.8087660116986599E-2</v>
      </c>
      <c r="D275">
        <v>1.37919636200927</v>
      </c>
      <c r="E275">
        <v>1.1125657849791299</v>
      </c>
      <c r="F275" s="3">
        <v>0.16970996425186999</v>
      </c>
      <c r="G275">
        <f t="shared" si="38"/>
        <v>-0.45307304046983099</v>
      </c>
      <c r="H275" t="str">
        <f>IF(F275&gt;$T$2,"buy",IF(F275&lt;0,"sell","keep"))</f>
        <v>buy</v>
      </c>
      <c r="I275" t="str">
        <f t="shared" si="40"/>
        <v>buy</v>
      </c>
      <c r="J275">
        <f t="shared" si="39"/>
        <v>0</v>
      </c>
      <c r="K275" t="str">
        <f t="shared" si="41"/>
        <v>buy</v>
      </c>
      <c r="L275">
        <f t="shared" si="36"/>
        <v>1</v>
      </c>
      <c r="M275">
        <f t="shared" si="37"/>
        <v>0</v>
      </c>
      <c r="N275">
        <f t="shared" si="42"/>
        <v>0</v>
      </c>
      <c r="O275">
        <f t="shared" si="43"/>
        <v>0</v>
      </c>
      <c r="P275">
        <f t="shared" si="44"/>
        <v>1156.7252104736258</v>
      </c>
      <c r="Q275">
        <f>Q274+(Q274*E275/100)</f>
        <v>1273.1376433142589</v>
      </c>
    </row>
    <row r="276" spans="1:17" x14ac:dyDescent="0.25">
      <c r="A276" s="1">
        <v>45468</v>
      </c>
      <c r="B276">
        <v>1.1631124445329299</v>
      </c>
      <c r="C276">
        <v>-0.44455824950897499</v>
      </c>
      <c r="D276">
        <v>-1.1520235973311601</v>
      </c>
      <c r="E276">
        <v>-0.45307304046983099</v>
      </c>
      <c r="F276" s="3">
        <v>-6.22293296594571E-2</v>
      </c>
      <c r="G276">
        <f t="shared" si="38"/>
        <v>-0.32509839148611103</v>
      </c>
      <c r="H276" t="str">
        <f>IF(F276&gt;$T$2,"buy",IF(F276&lt;0,"sell","keep"))</f>
        <v>sell</v>
      </c>
      <c r="I276" t="str">
        <f t="shared" si="40"/>
        <v>sell</v>
      </c>
      <c r="J276">
        <f t="shared" si="39"/>
        <v>1</v>
      </c>
      <c r="K276" t="str">
        <f t="shared" si="41"/>
        <v>sell</v>
      </c>
      <c r="L276">
        <f t="shared" si="36"/>
        <v>0</v>
      </c>
      <c r="M276">
        <f t="shared" si="37"/>
        <v>1</v>
      </c>
      <c r="N276">
        <f t="shared" si="42"/>
        <v>1</v>
      </c>
      <c r="O276">
        <f t="shared" si="43"/>
        <v>1151.4844003926519</v>
      </c>
      <c r="P276">
        <f t="shared" si="44"/>
        <v>0</v>
      </c>
      <c r="Q276">
        <f>Q275+(Q275*E276/100)</f>
        <v>1267.3693998843289</v>
      </c>
    </row>
    <row r="277" spans="1:17" x14ac:dyDescent="0.25">
      <c r="A277" s="1">
        <v>45469</v>
      </c>
      <c r="B277">
        <v>0.253386073273276</v>
      </c>
      <c r="C277">
        <v>-0.62334261748466702</v>
      </c>
      <c r="D277">
        <v>0.234264089157876</v>
      </c>
      <c r="E277">
        <v>-0.32509839148611103</v>
      </c>
      <c r="F277" s="3">
        <v>6.2779898163013697E-3</v>
      </c>
      <c r="G277">
        <f t="shared" si="38"/>
        <v>-0.94585113658445197</v>
      </c>
      <c r="H277" t="str">
        <f>IF(F277&gt;$T$2,"buy",IF(F277&lt;0,"sell","keep"))</f>
        <v>keep</v>
      </c>
      <c r="I277" t="str">
        <f t="shared" si="40"/>
        <v>sell</v>
      </c>
      <c r="J277">
        <f t="shared" si="39"/>
        <v>0</v>
      </c>
      <c r="K277" t="str">
        <f t="shared" si="41"/>
        <v>keep</v>
      </c>
      <c r="L277">
        <f t="shared" si="36"/>
        <v>0</v>
      </c>
      <c r="M277">
        <f t="shared" si="37"/>
        <v>0</v>
      </c>
      <c r="N277">
        <f t="shared" si="42"/>
        <v>0</v>
      </c>
      <c r="O277">
        <f t="shared" si="43"/>
        <v>1151.4844003926519</v>
      </c>
      <c r="P277">
        <f t="shared" si="44"/>
        <v>0</v>
      </c>
      <c r="Q277">
        <f>Q276+(Q276*E277/100)</f>
        <v>1263.2492023511177</v>
      </c>
    </row>
    <row r="278" spans="1:17" x14ac:dyDescent="0.25">
      <c r="A278" s="1">
        <v>45470</v>
      </c>
      <c r="B278">
        <v>0.1922860512366</v>
      </c>
      <c r="C278">
        <v>0.41056066028077798</v>
      </c>
      <c r="D278">
        <v>-1.2620562592631299</v>
      </c>
      <c r="E278">
        <v>-0.94585113658445197</v>
      </c>
      <c r="F278" s="3">
        <v>6.0377871835434801E-3</v>
      </c>
      <c r="G278">
        <f t="shared" si="38"/>
        <v>0.65853970799718498</v>
      </c>
      <c r="H278" t="str">
        <f>IF(F278&gt;$T$2,"buy",IF(F278&lt;0,"sell","keep"))</f>
        <v>keep</v>
      </c>
      <c r="I278" t="str">
        <f t="shared" si="40"/>
        <v>sell</v>
      </c>
      <c r="J278">
        <f t="shared" si="39"/>
        <v>1</v>
      </c>
      <c r="K278" t="str">
        <f t="shared" si="41"/>
        <v>keep</v>
      </c>
      <c r="L278">
        <f t="shared" si="36"/>
        <v>0</v>
      </c>
      <c r="M278">
        <f t="shared" si="37"/>
        <v>0</v>
      </c>
      <c r="N278">
        <f t="shared" si="42"/>
        <v>0</v>
      </c>
      <c r="O278">
        <f t="shared" si="43"/>
        <v>1151.4844003926519</v>
      </c>
      <c r="P278">
        <f t="shared" si="44"/>
        <v>0</v>
      </c>
      <c r="Q278">
        <f>Q277+(Q277*E278/100)</f>
        <v>1251.3007454127855</v>
      </c>
    </row>
    <row r="279" spans="1:17" x14ac:dyDescent="0.25">
      <c r="A279" s="1">
        <v>45471</v>
      </c>
      <c r="B279">
        <v>-0.53645964467172702</v>
      </c>
      <c r="C279">
        <v>-0.32028803518482302</v>
      </c>
      <c r="D279">
        <v>1.4971251700941</v>
      </c>
      <c r="E279">
        <v>0.65853970799718498</v>
      </c>
      <c r="F279" s="3">
        <v>0.13317361004613701</v>
      </c>
      <c r="G279">
        <f t="shared" si="38"/>
        <v>2.2571181533994999</v>
      </c>
      <c r="H279" t="str">
        <f>IF(F279&gt;$T$2,"buy",IF(F279&lt;0,"sell","keep"))</f>
        <v>keep</v>
      </c>
      <c r="I279" t="str">
        <f t="shared" si="40"/>
        <v>sell</v>
      </c>
      <c r="J279">
        <f t="shared" si="39"/>
        <v>1</v>
      </c>
      <c r="K279" t="str">
        <f t="shared" si="41"/>
        <v>keep</v>
      </c>
      <c r="L279">
        <f t="shared" si="36"/>
        <v>0</v>
      </c>
      <c r="M279">
        <f t="shared" si="37"/>
        <v>0</v>
      </c>
      <c r="N279">
        <f t="shared" si="42"/>
        <v>0</v>
      </c>
      <c r="O279">
        <f t="shared" si="43"/>
        <v>1151.4844003926519</v>
      </c>
      <c r="P279">
        <f t="shared" si="44"/>
        <v>0</v>
      </c>
      <c r="Q279">
        <f>Q278+(Q278*E279/100)</f>
        <v>1259.5410576877935</v>
      </c>
    </row>
    <row r="280" spans="1:17" x14ac:dyDescent="0.25">
      <c r="A280" s="1">
        <v>45474</v>
      </c>
      <c r="B280">
        <v>0.65717838987722199</v>
      </c>
      <c r="C280">
        <v>-2.2492698626086698</v>
      </c>
      <c r="D280">
        <v>-0.67046331202437104</v>
      </c>
      <c r="E280">
        <v>2.2571181533994999</v>
      </c>
      <c r="F280" s="3">
        <v>-0.29812694073311102</v>
      </c>
      <c r="G280">
        <f t="shared" si="38"/>
        <v>-0.38388330358966</v>
      </c>
      <c r="H280" t="str">
        <f>IF(F280&gt;$T$2,"buy",IF(F280&lt;0,"sell","keep"))</f>
        <v>sell</v>
      </c>
      <c r="I280" t="str">
        <f t="shared" si="40"/>
        <v>sell</v>
      </c>
      <c r="J280">
        <f t="shared" si="39"/>
        <v>1</v>
      </c>
      <c r="K280" t="str">
        <f t="shared" si="41"/>
        <v>keep</v>
      </c>
      <c r="L280">
        <f t="shared" si="36"/>
        <v>0</v>
      </c>
      <c r="M280">
        <f t="shared" si="37"/>
        <v>0</v>
      </c>
      <c r="N280">
        <f t="shared" si="42"/>
        <v>0</v>
      </c>
      <c r="O280">
        <f t="shared" si="43"/>
        <v>1151.4844003926519</v>
      </c>
      <c r="P280">
        <f t="shared" si="44"/>
        <v>0</v>
      </c>
      <c r="Q280">
        <f>Q279+(Q279*E280/100)</f>
        <v>1287.9703875503847</v>
      </c>
    </row>
    <row r="281" spans="1:17" x14ac:dyDescent="0.25">
      <c r="A281" s="1">
        <v>45475</v>
      </c>
      <c r="B281">
        <v>1.0078119200615601</v>
      </c>
      <c r="C281">
        <v>0.26810705480897401</v>
      </c>
      <c r="D281">
        <v>-2.5884886230067399</v>
      </c>
      <c r="E281">
        <v>-0.38388330358966</v>
      </c>
      <c r="F281" s="3">
        <v>-0.11900138679826</v>
      </c>
      <c r="G281">
        <f t="shared" si="38"/>
        <v>1.7019968457306001</v>
      </c>
      <c r="H281" t="str">
        <f>IF(F281&gt;$T$2,"buy",IF(F281&lt;0,"sell","keep"))</f>
        <v>sell</v>
      </c>
      <c r="I281" t="str">
        <f t="shared" si="40"/>
        <v>sell</v>
      </c>
      <c r="J281">
        <f t="shared" si="39"/>
        <v>0</v>
      </c>
      <c r="K281" t="str">
        <f t="shared" si="41"/>
        <v>keep</v>
      </c>
      <c r="L281">
        <f t="shared" si="36"/>
        <v>0</v>
      </c>
      <c r="M281">
        <f t="shared" si="37"/>
        <v>0</v>
      </c>
      <c r="N281">
        <f t="shared" si="42"/>
        <v>0</v>
      </c>
      <c r="O281">
        <f t="shared" si="43"/>
        <v>1151.4844003926519</v>
      </c>
      <c r="P281">
        <f t="shared" si="44"/>
        <v>0</v>
      </c>
      <c r="Q281">
        <f>Q280+(Q280*E281/100)</f>
        <v>1283.0260842773996</v>
      </c>
    </row>
    <row r="282" spans="1:17" x14ac:dyDescent="0.25">
      <c r="A282" s="1">
        <v>45476</v>
      </c>
      <c r="B282">
        <v>0.87318203786654802</v>
      </c>
      <c r="C282">
        <v>0.66265188364584804</v>
      </c>
      <c r="D282">
        <v>-1.2774224936777201</v>
      </c>
      <c r="E282">
        <v>1.7019968457306001</v>
      </c>
      <c r="F282" s="3">
        <v>9.13008114768359E-2</v>
      </c>
      <c r="G282">
        <f t="shared" si="38"/>
        <v>0.15644597596593501</v>
      </c>
      <c r="H282" t="str">
        <f>IF(F282&gt;$T$2,"buy",IF(F282&lt;0,"sell","keep"))</f>
        <v>keep</v>
      </c>
      <c r="I282" t="str">
        <f t="shared" si="40"/>
        <v>sell</v>
      </c>
      <c r="J282">
        <f t="shared" si="39"/>
        <v>1</v>
      </c>
      <c r="K282" t="str">
        <f t="shared" si="41"/>
        <v>keep</v>
      </c>
      <c r="L282">
        <f t="shared" si="36"/>
        <v>0</v>
      </c>
      <c r="M282">
        <f t="shared" si="37"/>
        <v>0</v>
      </c>
      <c r="N282">
        <f t="shared" si="42"/>
        <v>0</v>
      </c>
      <c r="O282">
        <f t="shared" si="43"/>
        <v>1151.4844003926519</v>
      </c>
      <c r="P282">
        <f t="shared" si="44"/>
        <v>0</v>
      </c>
      <c r="Q282">
        <f>Q281+(Q281*E282/100)</f>
        <v>1304.8631477617018</v>
      </c>
    </row>
    <row r="283" spans="1:17" x14ac:dyDescent="0.25">
      <c r="A283" s="1">
        <v>45481</v>
      </c>
      <c r="B283">
        <v>0.233270045683764</v>
      </c>
      <c r="C283">
        <v>4.5914810103963996E-3</v>
      </c>
      <c r="D283">
        <v>-0.43646600991174</v>
      </c>
      <c r="E283">
        <v>0.15644597596593501</v>
      </c>
      <c r="F283" s="3">
        <v>4.5960088266712898E-2</v>
      </c>
      <c r="G283">
        <f t="shared" si="38"/>
        <v>-1.18712717483568</v>
      </c>
      <c r="H283" t="str">
        <f>IF(F283&gt;$T$2,"buy",IF(F283&lt;0,"sell","keep"))</f>
        <v>keep</v>
      </c>
      <c r="I283" t="str">
        <f t="shared" si="40"/>
        <v>sell</v>
      </c>
      <c r="J283">
        <f t="shared" si="39"/>
        <v>0</v>
      </c>
      <c r="K283" t="str">
        <f t="shared" si="41"/>
        <v>keep</v>
      </c>
      <c r="L283">
        <f t="shared" si="36"/>
        <v>0</v>
      </c>
      <c r="M283">
        <f t="shared" si="37"/>
        <v>0</v>
      </c>
      <c r="N283">
        <f t="shared" si="42"/>
        <v>0</v>
      </c>
      <c r="O283">
        <f t="shared" si="43"/>
        <v>1151.4844003926519</v>
      </c>
      <c r="P283">
        <f t="shared" si="44"/>
        <v>0</v>
      </c>
      <c r="Q283">
        <f>Q282+(Q282*E283/100)</f>
        <v>1306.9045536482374</v>
      </c>
    </row>
    <row r="284" spans="1:17" x14ac:dyDescent="0.25">
      <c r="A284" s="1">
        <v>45482</v>
      </c>
      <c r="B284">
        <v>6.5952899959142997E-2</v>
      </c>
      <c r="C284">
        <v>-1.0419041589839</v>
      </c>
      <c r="D284">
        <v>0.91880927452772099</v>
      </c>
      <c r="E284">
        <v>-1.18712717483568</v>
      </c>
      <c r="F284" s="3">
        <v>3.52033053097004E-3</v>
      </c>
      <c r="G284">
        <f t="shared" si="38"/>
        <v>1.07492917832627</v>
      </c>
      <c r="H284" t="str">
        <f>IF(F284&gt;$T$2,"buy",IF(F284&lt;0,"sell","keep"))</f>
        <v>keep</v>
      </c>
      <c r="I284" t="str">
        <f t="shared" si="40"/>
        <v>sell</v>
      </c>
      <c r="J284">
        <f t="shared" si="39"/>
        <v>1</v>
      </c>
      <c r="K284" t="str">
        <f t="shared" si="41"/>
        <v>keep</v>
      </c>
      <c r="L284">
        <f t="shared" si="36"/>
        <v>0</v>
      </c>
      <c r="M284">
        <f t="shared" si="37"/>
        <v>0</v>
      </c>
      <c r="N284">
        <f t="shared" si="42"/>
        <v>0</v>
      </c>
      <c r="O284">
        <f t="shared" si="43"/>
        <v>1151.4844003926519</v>
      </c>
      <c r="P284">
        <f t="shared" si="44"/>
        <v>0</v>
      </c>
      <c r="Q284">
        <f>Q283+(Q283*E284/100)</f>
        <v>1291.3899345427142</v>
      </c>
    </row>
    <row r="285" spans="1:17" x14ac:dyDescent="0.25">
      <c r="A285" s="1">
        <v>45483</v>
      </c>
      <c r="B285">
        <v>1.0871809308413201</v>
      </c>
      <c r="C285">
        <v>0.86966360009819099</v>
      </c>
      <c r="D285">
        <v>5.35492958995131E-2</v>
      </c>
      <c r="E285">
        <v>1.07492917832627</v>
      </c>
      <c r="F285" s="3">
        <v>0.246483880027353</v>
      </c>
      <c r="G285">
        <f t="shared" si="38"/>
        <v>0.31279407331723502</v>
      </c>
      <c r="H285" t="str">
        <f>IF(F285&gt;$T$2,"buy",IF(F285&lt;0,"sell","keep"))</f>
        <v>buy</v>
      </c>
      <c r="I285" t="str">
        <f t="shared" si="40"/>
        <v>buy</v>
      </c>
      <c r="J285">
        <f t="shared" si="39"/>
        <v>1</v>
      </c>
      <c r="K285" t="str">
        <f t="shared" si="41"/>
        <v>buy</v>
      </c>
      <c r="L285">
        <f t="shared" si="36"/>
        <v>1</v>
      </c>
      <c r="M285">
        <f t="shared" si="37"/>
        <v>0</v>
      </c>
      <c r="N285">
        <f t="shared" si="42"/>
        <v>1</v>
      </c>
      <c r="O285">
        <f t="shared" si="43"/>
        <v>0</v>
      </c>
      <c r="P285">
        <f t="shared" si="44"/>
        <v>1151.4844003926519</v>
      </c>
      <c r="Q285">
        <f>Q284+(Q284*E285/100)</f>
        <v>1305.2714617550823</v>
      </c>
    </row>
    <row r="286" spans="1:17" x14ac:dyDescent="0.25">
      <c r="A286" s="1">
        <v>45484</v>
      </c>
      <c r="B286">
        <v>-2.2443189198354898</v>
      </c>
      <c r="C286">
        <v>-1.37916747499633E-2</v>
      </c>
      <c r="D286">
        <v>1.0527105548723199</v>
      </c>
      <c r="E286">
        <v>0.31279407331723502</v>
      </c>
      <c r="F286" s="3">
        <v>8.3119905254556703E-2</v>
      </c>
      <c r="G286">
        <f t="shared" si="38"/>
        <v>0.56127495423847695</v>
      </c>
      <c r="H286" t="str">
        <f>IF(F286&gt;$T$2,"buy",IF(F286&lt;0,"sell","keep"))</f>
        <v>keep</v>
      </c>
      <c r="I286" t="str">
        <f t="shared" si="40"/>
        <v>sell</v>
      </c>
      <c r="J286">
        <f t="shared" si="39"/>
        <v>1</v>
      </c>
      <c r="K286" t="str">
        <f t="shared" si="41"/>
        <v>sell</v>
      </c>
      <c r="L286">
        <f t="shared" si="36"/>
        <v>0</v>
      </c>
      <c r="M286">
        <f t="shared" si="37"/>
        <v>1</v>
      </c>
      <c r="N286">
        <f t="shared" si="42"/>
        <v>1</v>
      </c>
      <c r="O286">
        <f t="shared" si="43"/>
        <v>1155.0861753522527</v>
      </c>
      <c r="P286">
        <f t="shared" si="44"/>
        <v>0</v>
      </c>
      <c r="Q286">
        <f>Q285+(Q285*E286/100)</f>
        <v>1309.3542735281535</v>
      </c>
    </row>
    <row r="287" spans="1:17" x14ac:dyDescent="0.25">
      <c r="A287" s="1">
        <v>45485</v>
      </c>
      <c r="B287">
        <v>0.59437298177773501</v>
      </c>
      <c r="C287">
        <v>1.33596660924113</v>
      </c>
      <c r="D287">
        <v>0.217732903439915</v>
      </c>
      <c r="E287">
        <v>0.56127495423847695</v>
      </c>
      <c r="F287" s="3">
        <v>0.31021409638595698</v>
      </c>
      <c r="G287">
        <f t="shared" si="38"/>
        <v>-0.21705358543101499</v>
      </c>
      <c r="H287" t="str">
        <f>IF(F287&gt;$T$2,"buy",IF(F287&lt;0,"sell","keep"))</f>
        <v>buy</v>
      </c>
      <c r="I287" t="str">
        <f t="shared" si="40"/>
        <v>buy</v>
      </c>
      <c r="J287">
        <f t="shared" si="39"/>
        <v>0</v>
      </c>
      <c r="K287" t="str">
        <f t="shared" si="41"/>
        <v>buy</v>
      </c>
      <c r="L287">
        <f t="shared" si="36"/>
        <v>1</v>
      </c>
      <c r="M287">
        <f t="shared" si="37"/>
        <v>0</v>
      </c>
      <c r="N287">
        <f t="shared" si="42"/>
        <v>0</v>
      </c>
      <c r="O287">
        <f t="shared" si="43"/>
        <v>0</v>
      </c>
      <c r="P287">
        <f t="shared" si="44"/>
        <v>1155.0861753522527</v>
      </c>
      <c r="Q287">
        <f>Q286+(Q286*E287/100)</f>
        <v>1316.7033511277182</v>
      </c>
    </row>
    <row r="288" spans="1:17" x14ac:dyDescent="0.25">
      <c r="A288" s="1">
        <v>45488</v>
      </c>
      <c r="B288">
        <v>0.27243760472781497</v>
      </c>
      <c r="C288">
        <v>-0.57181969683545097</v>
      </c>
      <c r="D288">
        <v>-0.414843170622547</v>
      </c>
      <c r="E288">
        <v>-0.21705358543101499</v>
      </c>
      <c r="F288" s="3">
        <v>-3.3891189135189001E-2</v>
      </c>
      <c r="G288">
        <f t="shared" si="38"/>
        <v>-0.559356344628547</v>
      </c>
      <c r="H288" t="str">
        <f>IF(F288&gt;$T$2,"buy",IF(F288&lt;0,"sell","keep"))</f>
        <v>sell</v>
      </c>
      <c r="I288" t="str">
        <f t="shared" si="40"/>
        <v>sell</v>
      </c>
      <c r="J288">
        <f t="shared" si="39"/>
        <v>1</v>
      </c>
      <c r="K288" t="str">
        <f t="shared" si="41"/>
        <v>sell</v>
      </c>
      <c r="L288">
        <f t="shared" si="36"/>
        <v>0</v>
      </c>
      <c r="M288">
        <f t="shared" si="37"/>
        <v>1</v>
      </c>
      <c r="N288">
        <f t="shared" si="42"/>
        <v>1</v>
      </c>
      <c r="O288">
        <f t="shared" si="43"/>
        <v>1152.5790193938326</v>
      </c>
      <c r="P288">
        <f t="shared" si="44"/>
        <v>0</v>
      </c>
      <c r="Q288">
        <f>Q287+(Q287*E288/100)</f>
        <v>1313.8453992946052</v>
      </c>
    </row>
    <row r="289" spans="1:17" x14ac:dyDescent="0.25">
      <c r="A289" s="1">
        <v>45489</v>
      </c>
      <c r="B289">
        <v>5.7577622251137002E-2</v>
      </c>
      <c r="C289">
        <v>1.72303843548735</v>
      </c>
      <c r="D289">
        <v>0.69629411894469495</v>
      </c>
      <c r="E289">
        <v>-0.559356344628547</v>
      </c>
      <c r="F289" s="3">
        <v>0.38691645394462398</v>
      </c>
      <c r="G289">
        <f t="shared" si="38"/>
        <v>-6.2498908953534299E-2</v>
      </c>
      <c r="H289" t="str">
        <f>IF(F289&gt;$T$2,"buy",IF(F289&lt;0,"sell","keep"))</f>
        <v>buy</v>
      </c>
      <c r="I289" t="str">
        <f t="shared" si="40"/>
        <v>buy</v>
      </c>
      <c r="J289">
        <f t="shared" si="39"/>
        <v>0</v>
      </c>
      <c r="K289" t="str">
        <f t="shared" si="41"/>
        <v>buy</v>
      </c>
      <c r="L289">
        <f t="shared" si="36"/>
        <v>1</v>
      </c>
      <c r="M289">
        <f t="shared" si="37"/>
        <v>0</v>
      </c>
      <c r="N289">
        <f t="shared" si="42"/>
        <v>0</v>
      </c>
      <c r="O289">
        <f t="shared" si="43"/>
        <v>0</v>
      </c>
      <c r="P289">
        <f t="shared" si="44"/>
        <v>1152.5790193938326</v>
      </c>
      <c r="Q289">
        <f>Q288+(Q288*E289/100)</f>
        <v>1306.4963216950405</v>
      </c>
    </row>
    <row r="290" spans="1:17" x14ac:dyDescent="0.25">
      <c r="A290" s="1">
        <v>45490</v>
      </c>
      <c r="B290">
        <v>-2.9388191009022999</v>
      </c>
      <c r="C290">
        <v>0.79868512467715602</v>
      </c>
      <c r="D290">
        <v>3.58747609738638</v>
      </c>
      <c r="E290">
        <v>-6.2498908953534299E-2</v>
      </c>
      <c r="F290" s="3">
        <v>0.41895245362174499</v>
      </c>
      <c r="G290">
        <f t="shared" si="38"/>
        <v>0.84427863431797401</v>
      </c>
      <c r="H290" t="str">
        <f>IF(F290&gt;$T$2,"buy",IF(F290&lt;0,"sell","keep"))</f>
        <v>buy</v>
      </c>
      <c r="I290" t="str">
        <f t="shared" si="40"/>
        <v>buy</v>
      </c>
      <c r="J290">
        <f t="shared" si="39"/>
        <v>1</v>
      </c>
      <c r="K290" t="str">
        <f t="shared" si="41"/>
        <v>keep</v>
      </c>
      <c r="L290">
        <f t="shared" si="36"/>
        <v>0</v>
      </c>
      <c r="M290">
        <f t="shared" si="37"/>
        <v>0</v>
      </c>
      <c r="N290">
        <f t="shared" si="42"/>
        <v>0</v>
      </c>
      <c r="O290">
        <f t="shared" si="43"/>
        <v>0</v>
      </c>
      <c r="P290">
        <f t="shared" si="44"/>
        <v>1146.1319955219958</v>
      </c>
      <c r="Q290">
        <f>Q289+(Q289*E290/100)</f>
        <v>1305.679775748463</v>
      </c>
    </row>
    <row r="291" spans="1:17" x14ac:dyDescent="0.25">
      <c r="A291" s="1">
        <v>45491</v>
      </c>
      <c r="B291">
        <v>-0.47502456309261798</v>
      </c>
      <c r="C291">
        <v>-0.72335554426004001</v>
      </c>
      <c r="D291">
        <v>-2.3563658003456101</v>
      </c>
      <c r="E291">
        <v>0.84427863431797401</v>
      </c>
      <c r="F291" s="3">
        <v>-0.272902936371342</v>
      </c>
      <c r="G291">
        <f t="shared" si="38"/>
        <v>-0.96123908711633899</v>
      </c>
      <c r="H291" t="str">
        <f>IF(F291&gt;$T$2,"buy",IF(F291&lt;0,"sell","keep"))</f>
        <v>sell</v>
      </c>
      <c r="I291" t="str">
        <f t="shared" si="40"/>
        <v>sell</v>
      </c>
      <c r="J291">
        <f t="shared" si="39"/>
        <v>1</v>
      </c>
      <c r="K291" t="str">
        <f t="shared" si="41"/>
        <v>sell</v>
      </c>
      <c r="L291">
        <f t="shared" si="36"/>
        <v>0</v>
      </c>
      <c r="M291">
        <f t="shared" si="37"/>
        <v>1</v>
      </c>
      <c r="N291">
        <f t="shared" si="42"/>
        <v>1</v>
      </c>
      <c r="O291">
        <f t="shared" si="43"/>
        <v>1155.8085430812703</v>
      </c>
      <c r="P291">
        <f t="shared" si="44"/>
        <v>0</v>
      </c>
      <c r="Q291">
        <f>Q290+(Q290*E291/100)</f>
        <v>1316.7033511277182</v>
      </c>
    </row>
    <row r="292" spans="1:17" x14ac:dyDescent="0.25">
      <c r="A292" s="1">
        <v>45492</v>
      </c>
      <c r="B292">
        <v>-0.92600797343167496</v>
      </c>
      <c r="C292">
        <v>-0.28921827986203502</v>
      </c>
      <c r="D292">
        <v>0.68949170239642699</v>
      </c>
      <c r="E292">
        <v>-0.96123908711633899</v>
      </c>
      <c r="F292" s="3">
        <v>7.0489726595059504E-2</v>
      </c>
      <c r="G292">
        <f t="shared" si="38"/>
        <v>0.84532965541399496</v>
      </c>
      <c r="H292" t="str">
        <f>IF(F292&gt;$T$2,"buy",IF(F292&lt;0,"sell","keep"))</f>
        <v>keep</v>
      </c>
      <c r="I292" t="str">
        <f t="shared" si="40"/>
        <v>sell</v>
      </c>
      <c r="J292">
        <f t="shared" si="39"/>
        <v>1</v>
      </c>
      <c r="K292" t="str">
        <f t="shared" si="41"/>
        <v>keep</v>
      </c>
      <c r="L292">
        <f t="shared" si="36"/>
        <v>0</v>
      </c>
      <c r="M292">
        <f t="shared" si="37"/>
        <v>0</v>
      </c>
      <c r="N292">
        <f t="shared" si="42"/>
        <v>0</v>
      </c>
      <c r="O292">
        <f t="shared" si="43"/>
        <v>1155.8085430812703</v>
      </c>
      <c r="P292">
        <f t="shared" si="44"/>
        <v>0</v>
      </c>
      <c r="Q292">
        <f>Q291+(Q291*E292/100)</f>
        <v>1304.0466838553079</v>
      </c>
    </row>
    <row r="293" spans="1:17" x14ac:dyDescent="0.25">
      <c r="A293" s="1">
        <v>45495</v>
      </c>
      <c r="B293">
        <v>1.537959624358</v>
      </c>
      <c r="C293">
        <v>0.30354495595938902</v>
      </c>
      <c r="D293">
        <v>0.74862293533419699</v>
      </c>
      <c r="E293">
        <v>0.84532965541399496</v>
      </c>
      <c r="F293" s="3">
        <v>0.241190566869456</v>
      </c>
      <c r="G293">
        <f t="shared" si="38"/>
        <v>0.68301826385286302</v>
      </c>
      <c r="H293" t="str">
        <f>IF(F293&gt;$T$2,"buy",IF(F293&lt;0,"sell","keep"))</f>
        <v>buy</v>
      </c>
      <c r="I293" t="str">
        <f t="shared" si="40"/>
        <v>buy</v>
      </c>
      <c r="J293">
        <f t="shared" si="39"/>
        <v>1</v>
      </c>
      <c r="K293" t="str">
        <f t="shared" si="41"/>
        <v>buy</v>
      </c>
      <c r="L293">
        <f t="shared" si="36"/>
        <v>1</v>
      </c>
      <c r="M293">
        <f t="shared" si="37"/>
        <v>0</v>
      </c>
      <c r="N293">
        <f t="shared" si="42"/>
        <v>1</v>
      </c>
      <c r="O293">
        <f t="shared" si="43"/>
        <v>0</v>
      </c>
      <c r="P293">
        <f t="shared" si="44"/>
        <v>1155.8085430812703</v>
      </c>
      <c r="Q293">
        <f>Q292+(Q292*E293/100)</f>
        <v>1315.0701771943795</v>
      </c>
    </row>
    <row r="294" spans="1:17" x14ac:dyDescent="0.25">
      <c r="A294" s="1">
        <v>45496</v>
      </c>
      <c r="B294">
        <v>-0.34570826447396502</v>
      </c>
      <c r="C294">
        <v>0.29365705913446599</v>
      </c>
      <c r="D294">
        <v>-0.26498318679877197</v>
      </c>
      <c r="E294">
        <v>0.68301826385286302</v>
      </c>
      <c r="F294" s="3">
        <v>7.8632948544733794E-2</v>
      </c>
      <c r="G294">
        <f t="shared" si="38"/>
        <v>-0.98673585363122596</v>
      </c>
      <c r="H294" t="str">
        <f>IF(F294&gt;$T$2,"buy",IF(F294&lt;0,"sell","keep"))</f>
        <v>keep</v>
      </c>
      <c r="I294" t="str">
        <f t="shared" si="40"/>
        <v>sell</v>
      </c>
      <c r="J294">
        <f t="shared" si="39"/>
        <v>0</v>
      </c>
      <c r="K294" t="str">
        <f t="shared" si="41"/>
        <v>sell</v>
      </c>
      <c r="L294">
        <f t="shared" si="36"/>
        <v>0</v>
      </c>
      <c r="M294">
        <f t="shared" si="37"/>
        <v>1</v>
      </c>
      <c r="N294">
        <f t="shared" si="42"/>
        <v>0</v>
      </c>
      <c r="O294">
        <f t="shared" si="43"/>
        <v>1163.702926525687</v>
      </c>
      <c r="P294">
        <f t="shared" si="44"/>
        <v>0</v>
      </c>
      <c r="Q294">
        <f>Q293+(Q293*E294/100)</f>
        <v>1324.0523466870993</v>
      </c>
    </row>
    <row r="295" spans="1:17" x14ac:dyDescent="0.25">
      <c r="A295" s="1">
        <v>45497</v>
      </c>
      <c r="B295">
        <v>-3.6546360164924101</v>
      </c>
      <c r="C295">
        <v>-0.815804430581901</v>
      </c>
      <c r="D295">
        <v>1.7672661935842</v>
      </c>
      <c r="E295">
        <v>-0.98673585363122596</v>
      </c>
      <c r="F295" s="3">
        <v>1.6460163194781201E-2</v>
      </c>
      <c r="G295">
        <f t="shared" si="38"/>
        <v>0.40486060513442701</v>
      </c>
      <c r="H295" t="str">
        <f>IF(F295&gt;$T$2,"buy",IF(F295&lt;0,"sell","keep"))</f>
        <v>keep</v>
      </c>
      <c r="I295" t="str">
        <f t="shared" si="40"/>
        <v>sell</v>
      </c>
      <c r="J295">
        <f t="shared" si="39"/>
        <v>1</v>
      </c>
      <c r="K295" t="str">
        <f t="shared" si="41"/>
        <v>keep</v>
      </c>
      <c r="L295">
        <f t="shared" si="36"/>
        <v>0</v>
      </c>
      <c r="M295">
        <f t="shared" si="37"/>
        <v>0</v>
      </c>
      <c r="N295">
        <f t="shared" si="42"/>
        <v>0</v>
      </c>
      <c r="O295">
        <f t="shared" si="43"/>
        <v>1163.702926525687</v>
      </c>
      <c r="P295">
        <f t="shared" si="44"/>
        <v>0</v>
      </c>
      <c r="Q295">
        <f>Q294+(Q294*E295/100)</f>
        <v>1310.9874474614921</v>
      </c>
    </row>
    <row r="296" spans="1:17" x14ac:dyDescent="0.25">
      <c r="A296" s="1">
        <v>45498</v>
      </c>
      <c r="B296">
        <v>-1.0603531151252701</v>
      </c>
      <c r="C296">
        <v>-0.16450711493447501</v>
      </c>
      <c r="D296">
        <v>3.3823246173803199</v>
      </c>
      <c r="E296">
        <v>0.40486060513442701</v>
      </c>
      <c r="F296" s="3">
        <v>0.37647438317506898</v>
      </c>
      <c r="G296">
        <f t="shared" si="38"/>
        <v>0.74441006856111802</v>
      </c>
      <c r="H296" t="str">
        <f>IF(F296&gt;$T$2,"buy",IF(F296&lt;0,"sell","keep"))</f>
        <v>buy</v>
      </c>
      <c r="I296" t="str">
        <f t="shared" si="40"/>
        <v>buy</v>
      </c>
      <c r="J296">
        <f t="shared" si="39"/>
        <v>1</v>
      </c>
      <c r="K296" t="str">
        <f t="shared" si="41"/>
        <v>buy</v>
      </c>
      <c r="L296">
        <f t="shared" si="36"/>
        <v>1</v>
      </c>
      <c r="M296">
        <f t="shared" si="37"/>
        <v>0</v>
      </c>
      <c r="N296">
        <f t="shared" si="42"/>
        <v>1</v>
      </c>
      <c r="O296">
        <f t="shared" si="43"/>
        <v>0</v>
      </c>
      <c r="P296">
        <f t="shared" si="44"/>
        <v>1163.702926525687</v>
      </c>
      <c r="Q296">
        <f>Q295+(Q295*E296/100)</f>
        <v>1316.295119174521</v>
      </c>
    </row>
    <row r="297" spans="1:17" x14ac:dyDescent="0.25">
      <c r="A297" s="1">
        <v>45499</v>
      </c>
      <c r="B297">
        <v>1.0253538516813601</v>
      </c>
      <c r="C297">
        <v>1.88700976505467</v>
      </c>
      <c r="D297">
        <v>1.64132964842933</v>
      </c>
      <c r="E297">
        <v>0.74441006856111802</v>
      </c>
      <c r="F297" s="3">
        <v>0.54287371850403299</v>
      </c>
      <c r="G297">
        <f t="shared" si="38"/>
        <v>-0.76970647157248395</v>
      </c>
      <c r="H297" t="str">
        <f>IF(F297&gt;$T$2,"buy",IF(F297&lt;0,"sell","keep"))</f>
        <v>buy</v>
      </c>
      <c r="I297" t="str">
        <f t="shared" si="40"/>
        <v>buy</v>
      </c>
      <c r="J297">
        <f t="shared" si="39"/>
        <v>0</v>
      </c>
      <c r="K297" t="str">
        <f t="shared" si="41"/>
        <v>keep</v>
      </c>
      <c r="L297">
        <f t="shared" si="36"/>
        <v>0</v>
      </c>
      <c r="M297">
        <f t="shared" si="37"/>
        <v>0</v>
      </c>
      <c r="N297">
        <f t="shared" si="42"/>
        <v>0</v>
      </c>
      <c r="O297">
        <f t="shared" si="43"/>
        <v>0</v>
      </c>
      <c r="P297">
        <f t="shared" si="44"/>
        <v>1168.4143012359859</v>
      </c>
      <c r="Q297">
        <f>Q296+(Q296*E297/100)</f>
        <v>1326.0937525736347</v>
      </c>
    </row>
    <row r="298" spans="1:17" x14ac:dyDescent="0.25">
      <c r="A298" s="1">
        <v>45502</v>
      </c>
      <c r="B298">
        <v>0.188344818140739</v>
      </c>
      <c r="C298">
        <v>-0.316801210049522</v>
      </c>
      <c r="D298">
        <v>-1.73903902423087</v>
      </c>
      <c r="E298">
        <v>-0.76970647157248395</v>
      </c>
      <c r="F298" s="3">
        <v>-0.14629497506005701</v>
      </c>
      <c r="G298">
        <f t="shared" si="38"/>
        <v>1.4272417679834699</v>
      </c>
      <c r="H298" t="str">
        <f>IF(F298&gt;$T$2,"buy",IF(F298&lt;0,"sell","keep"))</f>
        <v>sell</v>
      </c>
      <c r="I298" t="str">
        <f t="shared" si="40"/>
        <v>sell</v>
      </c>
      <c r="J298">
        <f t="shared" si="39"/>
        <v>0</v>
      </c>
      <c r="K298" t="str">
        <f t="shared" si="41"/>
        <v>sell</v>
      </c>
      <c r="L298">
        <f t="shared" si="36"/>
        <v>0</v>
      </c>
      <c r="M298">
        <f t="shared" si="37"/>
        <v>1</v>
      </c>
      <c r="N298">
        <f t="shared" si="42"/>
        <v>0</v>
      </c>
      <c r="O298">
        <f t="shared" si="43"/>
        <v>1159.4209407445942</v>
      </c>
      <c r="P298">
        <f t="shared" si="44"/>
        <v>0</v>
      </c>
      <c r="Q298">
        <f>Q297+(Q297*E298/100)</f>
        <v>1315.886723140957</v>
      </c>
    </row>
    <row r="299" spans="1:17" x14ac:dyDescent="0.25">
      <c r="A299" s="1">
        <v>45503</v>
      </c>
      <c r="B299">
        <v>-1.3810479707912899</v>
      </c>
      <c r="C299">
        <v>0.19779592895112699</v>
      </c>
      <c r="D299">
        <v>2.66021548924653</v>
      </c>
      <c r="E299">
        <v>1.4272417679834699</v>
      </c>
      <c r="F299" s="3">
        <v>0.32954794643075802</v>
      </c>
      <c r="G299">
        <f t="shared" si="38"/>
        <v>-0.61179723074006298</v>
      </c>
      <c r="H299" t="str">
        <f>IF(F299&gt;$T$2,"buy",IF(F299&lt;0,"sell","keep"))</f>
        <v>buy</v>
      </c>
      <c r="I299" t="str">
        <f t="shared" si="40"/>
        <v>buy</v>
      </c>
      <c r="J299">
        <f t="shared" si="39"/>
        <v>0</v>
      </c>
      <c r="K299" t="str">
        <f t="shared" si="41"/>
        <v>buy</v>
      </c>
      <c r="L299">
        <f t="shared" si="36"/>
        <v>1</v>
      </c>
      <c r="M299">
        <f t="shared" si="37"/>
        <v>0</v>
      </c>
      <c r="N299">
        <f t="shared" si="42"/>
        <v>0</v>
      </c>
      <c r="O299">
        <f t="shared" si="43"/>
        <v>0</v>
      </c>
      <c r="P299">
        <f t="shared" si="44"/>
        <v>1159.4209407445942</v>
      </c>
      <c r="Q299">
        <f>Q298+(Q298*E299/100)</f>
        <v>1334.6676080729737</v>
      </c>
    </row>
    <row r="300" spans="1:17" x14ac:dyDescent="0.25">
      <c r="A300" s="1">
        <v>45504</v>
      </c>
      <c r="B300">
        <v>3.0120878789736598</v>
      </c>
      <c r="C300">
        <v>0.58777210968856597</v>
      </c>
      <c r="D300">
        <v>-0.78167237475531504</v>
      </c>
      <c r="E300">
        <v>-0.61179723074006298</v>
      </c>
      <c r="F300" s="3">
        <v>0.17300448066197899</v>
      </c>
      <c r="G300">
        <f t="shared" si="38"/>
        <v>-2.0929582733108099</v>
      </c>
      <c r="H300" t="str">
        <f>IF(F300&gt;$T$2,"buy",IF(F300&lt;0,"sell","keep"))</f>
        <v>buy</v>
      </c>
      <c r="I300" t="str">
        <f t="shared" si="40"/>
        <v>buy</v>
      </c>
      <c r="J300">
        <f t="shared" si="39"/>
        <v>0</v>
      </c>
      <c r="K300" t="str">
        <f t="shared" si="41"/>
        <v>keep</v>
      </c>
      <c r="L300">
        <f t="shared" si="36"/>
        <v>0</v>
      </c>
      <c r="M300">
        <f t="shared" si="37"/>
        <v>0</v>
      </c>
      <c r="N300">
        <f t="shared" si="42"/>
        <v>0</v>
      </c>
      <c r="O300">
        <f t="shared" si="43"/>
        <v>0</v>
      </c>
      <c r="P300">
        <f t="shared" si="44"/>
        <v>1175.9686806776479</v>
      </c>
      <c r="Q300">
        <f>Q299+(Q299*E300/100)</f>
        <v>1326.5021486071987</v>
      </c>
    </row>
    <row r="301" spans="1:17" x14ac:dyDescent="0.25">
      <c r="A301" s="1">
        <v>45505</v>
      </c>
      <c r="B301">
        <v>-2.4379123390941899</v>
      </c>
      <c r="C301">
        <v>-3.5278012625305999E-2</v>
      </c>
      <c r="D301">
        <v>2.3688863270351801</v>
      </c>
      <c r="E301">
        <v>-2.0929582733108099</v>
      </c>
      <c r="F301" s="3">
        <v>0.26462009282381999</v>
      </c>
      <c r="G301">
        <f t="shared" si="38"/>
        <v>1.4146405649389999</v>
      </c>
      <c r="H301" t="str">
        <f>IF(F301&gt;$T$2,"buy",IF(F301&lt;0,"sell","keep"))</f>
        <v>buy</v>
      </c>
      <c r="I301" t="str">
        <f t="shared" si="40"/>
        <v>buy</v>
      </c>
      <c r="J301">
        <f t="shared" si="39"/>
        <v>1</v>
      </c>
      <c r="K301" t="str">
        <f t="shared" si="41"/>
        <v>keep</v>
      </c>
      <c r="L301">
        <f t="shared" si="36"/>
        <v>0</v>
      </c>
      <c r="M301">
        <f t="shared" si="37"/>
        <v>0</v>
      </c>
      <c r="N301">
        <f t="shared" si="42"/>
        <v>0</v>
      </c>
      <c r="O301">
        <f t="shared" si="43"/>
        <v>0</v>
      </c>
      <c r="P301">
        <f t="shared" si="44"/>
        <v>1168.7741368548916</v>
      </c>
      <c r="Q301">
        <f>Q300+(Q300*E301/100)</f>
        <v>1298.7390121422786</v>
      </c>
    </row>
    <row r="302" spans="1:17" x14ac:dyDescent="0.25">
      <c r="A302" s="1">
        <v>45506</v>
      </c>
      <c r="B302">
        <v>-2.3797338263088399</v>
      </c>
      <c r="C302">
        <v>0.14558859954720799</v>
      </c>
      <c r="D302">
        <v>-0.221399685853507</v>
      </c>
      <c r="E302">
        <v>1.4146405649389999</v>
      </c>
      <c r="F302" s="3">
        <v>6.1897006640203499E-2</v>
      </c>
      <c r="G302">
        <f t="shared" si="38"/>
        <v>-2.6658310944965602</v>
      </c>
      <c r="H302" t="str">
        <f>IF(F302&gt;$T$2,"buy",IF(F302&lt;0,"sell","keep"))</f>
        <v>keep</v>
      </c>
      <c r="I302" t="str">
        <f t="shared" si="40"/>
        <v>sell</v>
      </c>
      <c r="J302">
        <f t="shared" si="39"/>
        <v>0</v>
      </c>
      <c r="K302" t="str">
        <f t="shared" si="41"/>
        <v>sell</v>
      </c>
      <c r="L302">
        <f t="shared" si="36"/>
        <v>0</v>
      </c>
      <c r="M302">
        <f t="shared" si="37"/>
        <v>1</v>
      </c>
      <c r="N302">
        <f t="shared" si="42"/>
        <v>0</v>
      </c>
      <c r="O302">
        <f t="shared" si="43"/>
        <v>1185.3080899073566</v>
      </c>
      <c r="P302">
        <f t="shared" si="44"/>
        <v>0</v>
      </c>
      <c r="Q302">
        <f>Q301+(Q301*E302/100)</f>
        <v>1317.1115010407314</v>
      </c>
    </row>
    <row r="303" spans="1:17" x14ac:dyDescent="0.25">
      <c r="A303" s="1">
        <v>45509</v>
      </c>
      <c r="B303">
        <v>-2.9591340132592401</v>
      </c>
      <c r="C303">
        <v>-2.3127770663393998</v>
      </c>
      <c r="D303">
        <v>-2.6044784248666999</v>
      </c>
      <c r="E303">
        <v>-2.6658310944965602</v>
      </c>
      <c r="F303" s="3">
        <v>-0.57760858001945103</v>
      </c>
      <c r="G303">
        <f t="shared" si="38"/>
        <v>-0.28662879548776399</v>
      </c>
      <c r="H303" t="str">
        <f>IF(F303&gt;$T$2,"buy",IF(F303&lt;0,"sell","keep"))</f>
        <v>sell</v>
      </c>
      <c r="I303" t="str">
        <f t="shared" si="40"/>
        <v>sell</v>
      </c>
      <c r="J303">
        <f t="shared" si="39"/>
        <v>1</v>
      </c>
      <c r="K303" t="str">
        <f t="shared" si="41"/>
        <v>keep</v>
      </c>
      <c r="L303">
        <f t="shared" si="36"/>
        <v>0</v>
      </c>
      <c r="M303">
        <f t="shared" si="37"/>
        <v>0</v>
      </c>
      <c r="N303">
        <f t="shared" si="42"/>
        <v>0</v>
      </c>
      <c r="O303">
        <f t="shared" si="43"/>
        <v>1185.3080899073566</v>
      </c>
      <c r="P303">
        <f t="shared" si="44"/>
        <v>0</v>
      </c>
      <c r="Q303">
        <f>Q302+(Q302*E303/100)</f>
        <v>1281.9995330967972</v>
      </c>
    </row>
    <row r="304" spans="1:17" x14ac:dyDescent="0.25">
      <c r="A304" s="1">
        <v>45510</v>
      </c>
      <c r="B304">
        <v>1.0212804134148401</v>
      </c>
      <c r="C304">
        <v>0.48704779094626</v>
      </c>
      <c r="D304">
        <v>0.73227655216221399</v>
      </c>
      <c r="E304">
        <v>-0.28662879548776399</v>
      </c>
      <c r="F304" s="3">
        <v>0.22553093571730801</v>
      </c>
      <c r="G304">
        <f t="shared" si="38"/>
        <v>2.2995832352748802</v>
      </c>
      <c r="H304" t="str">
        <f>IF(F304&gt;$T$2,"buy",IF(F304&lt;0,"sell","keep"))</f>
        <v>buy</v>
      </c>
      <c r="I304" t="str">
        <f t="shared" si="40"/>
        <v>buy</v>
      </c>
      <c r="J304">
        <f t="shared" si="39"/>
        <v>1</v>
      </c>
      <c r="K304" t="str">
        <f t="shared" si="41"/>
        <v>buy</v>
      </c>
      <c r="L304">
        <f t="shared" si="36"/>
        <v>1</v>
      </c>
      <c r="M304">
        <f t="shared" si="37"/>
        <v>0</v>
      </c>
      <c r="N304">
        <f t="shared" si="42"/>
        <v>1</v>
      </c>
      <c r="O304">
        <f t="shared" si="43"/>
        <v>0</v>
      </c>
      <c r="P304">
        <f t="shared" si="44"/>
        <v>1185.3080899073566</v>
      </c>
      <c r="Q304">
        <f>Q303+(Q303*E304/100)</f>
        <v>1278.3249532769232</v>
      </c>
    </row>
    <row r="305" spans="1:17" x14ac:dyDescent="0.25">
      <c r="A305" s="1">
        <v>45511</v>
      </c>
      <c r="B305">
        <v>-1.1646847765667101</v>
      </c>
      <c r="C305">
        <v>-0.85268631865583699</v>
      </c>
      <c r="D305">
        <v>0.96923642950621502</v>
      </c>
      <c r="E305">
        <v>2.2995832352748802</v>
      </c>
      <c r="F305" s="3">
        <v>3.6139287487739903E-2</v>
      </c>
      <c r="G305">
        <f t="shared" si="38"/>
        <v>0.34343146775279698</v>
      </c>
      <c r="H305" t="str">
        <f>IF(F305&gt;$T$2,"buy",IF(F305&lt;0,"sell","keep"))</f>
        <v>keep</v>
      </c>
      <c r="I305" t="str">
        <f t="shared" si="40"/>
        <v>sell</v>
      </c>
      <c r="J305">
        <f t="shared" si="39"/>
        <v>1</v>
      </c>
      <c r="K305" t="str">
        <f t="shared" si="41"/>
        <v>sell</v>
      </c>
      <c r="L305">
        <f t="shared" si="36"/>
        <v>0</v>
      </c>
      <c r="M305">
        <f t="shared" si="37"/>
        <v>1</v>
      </c>
      <c r="N305">
        <f t="shared" si="42"/>
        <v>1</v>
      </c>
      <c r="O305">
        <f t="shared" si="43"/>
        <v>1212.5652360292231</v>
      </c>
      <c r="P305">
        <f t="shared" si="44"/>
        <v>0</v>
      </c>
      <c r="Q305">
        <f>Q304+(Q304*E305/100)</f>
        <v>1307.7210995948149</v>
      </c>
    </row>
    <row r="306" spans="1:17" x14ac:dyDescent="0.25">
      <c r="A306" s="1">
        <v>45512</v>
      </c>
      <c r="B306">
        <v>3.0583751170872402</v>
      </c>
      <c r="C306">
        <v>1.2854876201076</v>
      </c>
      <c r="D306">
        <v>1.5412558194383501</v>
      </c>
      <c r="E306">
        <v>0.34343146775279698</v>
      </c>
      <c r="F306" s="3">
        <v>0.48300006284720098</v>
      </c>
      <c r="G306">
        <f t="shared" si="38"/>
        <v>1.43123212304037</v>
      </c>
      <c r="H306" t="str">
        <f>IF(F306&gt;$T$2,"buy",IF(F306&lt;0,"sell","keep"))</f>
        <v>buy</v>
      </c>
      <c r="I306" t="str">
        <f t="shared" si="40"/>
        <v>buy</v>
      </c>
      <c r="J306">
        <f t="shared" si="39"/>
        <v>1</v>
      </c>
      <c r="K306" t="str">
        <f t="shared" si="41"/>
        <v>buy</v>
      </c>
      <c r="L306">
        <f t="shared" si="36"/>
        <v>1</v>
      </c>
      <c r="M306">
        <f t="shared" si="37"/>
        <v>0</v>
      </c>
      <c r="N306">
        <f t="shared" si="42"/>
        <v>1</v>
      </c>
      <c r="O306">
        <f t="shared" si="43"/>
        <v>0</v>
      </c>
      <c r="P306">
        <f t="shared" si="44"/>
        <v>1212.5652360292231</v>
      </c>
      <c r="Q306">
        <f>Q305+(Q305*E306/100)</f>
        <v>1312.2122253612663</v>
      </c>
    </row>
    <row r="307" spans="1:17" x14ac:dyDescent="0.25">
      <c r="A307" s="1">
        <v>45513</v>
      </c>
      <c r="B307">
        <v>0.539156433538168</v>
      </c>
      <c r="C307">
        <v>-0.116197778435289</v>
      </c>
      <c r="D307">
        <v>-0.246841517447038</v>
      </c>
      <c r="E307">
        <v>1.43123212304037</v>
      </c>
      <c r="F307" s="3">
        <v>5.16569438255201E-2</v>
      </c>
      <c r="G307">
        <f t="shared" si="38"/>
        <v>-0.76686708163231598</v>
      </c>
      <c r="H307" t="str">
        <f>IF(F307&gt;$T$2,"buy",IF(F307&lt;0,"sell","keep"))</f>
        <v>keep</v>
      </c>
      <c r="I307" t="str">
        <f t="shared" si="40"/>
        <v>sell</v>
      </c>
      <c r="J307">
        <f t="shared" si="39"/>
        <v>0</v>
      </c>
      <c r="K307" t="str">
        <f t="shared" si="41"/>
        <v>sell</v>
      </c>
      <c r="L307">
        <f t="shared" si="36"/>
        <v>0</v>
      </c>
      <c r="M307">
        <f t="shared" si="37"/>
        <v>1</v>
      </c>
      <c r="N307">
        <f t="shared" si="42"/>
        <v>0</v>
      </c>
      <c r="O307">
        <f t="shared" si="43"/>
        <v>1229.9198592000937</v>
      </c>
      <c r="P307">
        <f t="shared" si="44"/>
        <v>0</v>
      </c>
      <c r="Q307">
        <f>Q306+(Q306*E307/100)</f>
        <v>1330.9930282530997</v>
      </c>
    </row>
    <row r="308" spans="1:17" x14ac:dyDescent="0.25">
      <c r="A308" s="1">
        <v>45516</v>
      </c>
      <c r="B308">
        <v>0.156266039239327</v>
      </c>
      <c r="C308">
        <v>-5.3691062157323798E-2</v>
      </c>
      <c r="D308">
        <v>0.13163832132541101</v>
      </c>
      <c r="E308">
        <v>-0.76686708163231598</v>
      </c>
      <c r="F308" s="3">
        <v>8.4521538660599901E-2</v>
      </c>
      <c r="G308">
        <f t="shared" si="38"/>
        <v>0.12365166146166499</v>
      </c>
      <c r="H308" t="str">
        <f>IF(F308&gt;$T$2,"buy",IF(F308&lt;0,"sell","keep"))</f>
        <v>keep</v>
      </c>
      <c r="I308" t="str">
        <f t="shared" si="40"/>
        <v>sell</v>
      </c>
      <c r="J308">
        <f t="shared" si="39"/>
        <v>1</v>
      </c>
      <c r="K308" t="str">
        <f t="shared" si="41"/>
        <v>keep</v>
      </c>
      <c r="L308">
        <f t="shared" si="36"/>
        <v>0</v>
      </c>
      <c r="M308">
        <f t="shared" si="37"/>
        <v>0</v>
      </c>
      <c r="N308">
        <f t="shared" si="42"/>
        <v>0</v>
      </c>
      <c r="O308">
        <f t="shared" si="43"/>
        <v>1229.9198592000937</v>
      </c>
      <c r="P308">
        <f t="shared" si="44"/>
        <v>0</v>
      </c>
      <c r="Q308">
        <f>Q307+(Q307*E308/100)</f>
        <v>1320.7860808606056</v>
      </c>
    </row>
    <row r="309" spans="1:17" x14ac:dyDescent="0.25">
      <c r="A309" s="1">
        <v>45517</v>
      </c>
      <c r="B309">
        <v>2.5045823366446101</v>
      </c>
      <c r="C309">
        <v>0.65357360629785199</v>
      </c>
      <c r="D309">
        <v>0.55208491537150906</v>
      </c>
      <c r="E309">
        <v>0.12365166146166499</v>
      </c>
      <c r="F309" s="3">
        <v>0.301252551352653</v>
      </c>
      <c r="G309">
        <f t="shared" si="38"/>
        <v>1.01883689384654</v>
      </c>
      <c r="H309" t="str">
        <f>IF(F309&gt;$T$2,"buy",IF(F309&lt;0,"sell","keep"))</f>
        <v>buy</v>
      </c>
      <c r="I309" t="str">
        <f t="shared" si="40"/>
        <v>buy</v>
      </c>
      <c r="J309">
        <f t="shared" si="39"/>
        <v>1</v>
      </c>
      <c r="K309" t="str">
        <f t="shared" si="41"/>
        <v>buy</v>
      </c>
      <c r="L309">
        <f t="shared" si="36"/>
        <v>1</v>
      </c>
      <c r="M309">
        <f t="shared" si="37"/>
        <v>0</v>
      </c>
      <c r="N309">
        <f t="shared" si="42"/>
        <v>1</v>
      </c>
      <c r="O309">
        <f t="shared" si="43"/>
        <v>0</v>
      </c>
      <c r="P309">
        <f t="shared" si="44"/>
        <v>1229.9198592000937</v>
      </c>
      <c r="Q309">
        <f>Q308+(Q308*E309/100)</f>
        <v>1322.4192547939442</v>
      </c>
    </row>
    <row r="310" spans="1:17" x14ac:dyDescent="0.25">
      <c r="A310" s="1">
        <v>45518</v>
      </c>
      <c r="B310">
        <v>8.5497383081301004E-2</v>
      </c>
      <c r="C310">
        <v>0.32909632595357002</v>
      </c>
      <c r="D310">
        <v>0.92559245301257997</v>
      </c>
      <c r="E310">
        <v>1.01883689384654</v>
      </c>
      <c r="F310" s="3">
        <v>0.220314663828001</v>
      </c>
      <c r="G310">
        <f t="shared" si="38"/>
        <v>1.0696787825485701</v>
      </c>
      <c r="H310" t="str">
        <f>IF(F310&gt;$T$2,"buy",IF(F310&lt;0,"sell","keep"))</f>
        <v>buy</v>
      </c>
      <c r="I310" t="str">
        <f t="shared" si="40"/>
        <v>buy</v>
      </c>
      <c r="J310">
        <f t="shared" si="39"/>
        <v>1</v>
      </c>
      <c r="K310" t="str">
        <f t="shared" si="41"/>
        <v>keep</v>
      </c>
      <c r="L310">
        <f t="shared" si="36"/>
        <v>0</v>
      </c>
      <c r="M310">
        <f t="shared" si="37"/>
        <v>0</v>
      </c>
      <c r="N310">
        <f t="shared" si="42"/>
        <v>0</v>
      </c>
      <c r="O310">
        <f t="shared" si="43"/>
        <v>0</v>
      </c>
      <c r="P310">
        <f t="shared" si="44"/>
        <v>1231.4406755406417</v>
      </c>
      <c r="Q310">
        <f>Q309+(Q309*E310/100)</f>
        <v>1335.8925500531154</v>
      </c>
    </row>
    <row r="311" spans="1:17" x14ac:dyDescent="0.25">
      <c r="A311" s="1">
        <v>45519</v>
      </c>
      <c r="B311">
        <v>2.45743875628721</v>
      </c>
      <c r="C311">
        <v>1.09935222088553</v>
      </c>
      <c r="D311">
        <v>0.20726604291467701</v>
      </c>
      <c r="E311">
        <v>1.0696787825485701</v>
      </c>
      <c r="F311" s="3">
        <v>0.33104281800267599</v>
      </c>
      <c r="G311">
        <f t="shared" si="38"/>
        <v>0.87692760044266704</v>
      </c>
      <c r="H311" t="str">
        <f>IF(F311&gt;$T$2,"buy",IF(F311&lt;0,"sell","keep"))</f>
        <v>buy</v>
      </c>
      <c r="I311" t="str">
        <f t="shared" si="40"/>
        <v>buy</v>
      </c>
      <c r="J311">
        <f t="shared" si="39"/>
        <v>1</v>
      </c>
      <c r="K311" t="str">
        <f t="shared" si="41"/>
        <v>keep</v>
      </c>
      <c r="L311">
        <f t="shared" si="36"/>
        <v>0</v>
      </c>
      <c r="M311">
        <f t="shared" si="37"/>
        <v>0</v>
      </c>
      <c r="N311">
        <f t="shared" si="42"/>
        <v>0</v>
      </c>
      <c r="O311">
        <f t="shared" si="43"/>
        <v>0</v>
      </c>
      <c r="P311">
        <f t="shared" si="44"/>
        <v>1243.9870474688828</v>
      </c>
      <c r="Q311">
        <f>Q310+(Q310*E311/100)</f>
        <v>1350.1823092186805</v>
      </c>
    </row>
    <row r="312" spans="1:17" x14ac:dyDescent="0.25">
      <c r="A312" s="1">
        <v>45520</v>
      </c>
      <c r="B312">
        <v>9.4248326753998399E-2</v>
      </c>
      <c r="C312">
        <v>0.14907401198989101</v>
      </c>
      <c r="D312">
        <v>0.25852800580394802</v>
      </c>
      <c r="E312">
        <v>0.87692760044266704</v>
      </c>
      <c r="F312" s="3">
        <v>0.12828372218508199</v>
      </c>
      <c r="G312">
        <f t="shared" si="38"/>
        <v>0.239803964535623</v>
      </c>
      <c r="H312" t="str">
        <f>IF(F312&gt;$T$2,"buy",IF(F312&lt;0,"sell","keep"))</f>
        <v>keep</v>
      </c>
      <c r="I312" t="str">
        <f t="shared" si="40"/>
        <v>sell</v>
      </c>
      <c r="J312">
        <f t="shared" si="39"/>
        <v>1</v>
      </c>
      <c r="K312" t="str">
        <f t="shared" si="41"/>
        <v>sell</v>
      </c>
      <c r="L312">
        <f t="shared" si="36"/>
        <v>0</v>
      </c>
      <c r="M312">
        <f t="shared" si="37"/>
        <v>1</v>
      </c>
      <c r="N312">
        <f t="shared" si="42"/>
        <v>1</v>
      </c>
      <c r="O312">
        <f t="shared" si="43"/>
        <v>1254.8959132340692</v>
      </c>
      <c r="P312">
        <f t="shared" si="44"/>
        <v>0</v>
      </c>
      <c r="Q312">
        <f>Q311+(Q311*E312/100)</f>
        <v>1362.0224305445133</v>
      </c>
    </row>
    <row r="313" spans="1:17" x14ac:dyDescent="0.25">
      <c r="A313" s="1">
        <v>45523</v>
      </c>
      <c r="B313">
        <v>1.3223489497076599</v>
      </c>
      <c r="C313">
        <v>0.38526509161538303</v>
      </c>
      <c r="D313">
        <v>1.53171751026699</v>
      </c>
      <c r="E313">
        <v>0.239803964535623</v>
      </c>
      <c r="F313" s="3">
        <v>0.356152356937179</v>
      </c>
      <c r="G313">
        <f t="shared" si="38"/>
        <v>0.119621149418214</v>
      </c>
      <c r="H313" t="str">
        <f>IF(F313&gt;$T$2,"buy",IF(F313&lt;0,"sell","keep"))</f>
        <v>buy</v>
      </c>
      <c r="I313" t="str">
        <f t="shared" si="40"/>
        <v>buy</v>
      </c>
      <c r="J313">
        <f t="shared" si="39"/>
        <v>1</v>
      </c>
      <c r="K313" t="str">
        <f t="shared" si="41"/>
        <v>buy</v>
      </c>
      <c r="L313">
        <f t="shared" si="36"/>
        <v>1</v>
      </c>
      <c r="M313">
        <f t="shared" si="37"/>
        <v>0</v>
      </c>
      <c r="N313">
        <f t="shared" si="42"/>
        <v>1</v>
      </c>
      <c r="O313">
        <f t="shared" si="43"/>
        <v>0</v>
      </c>
      <c r="P313">
        <f t="shared" si="44"/>
        <v>1254.8959132340692</v>
      </c>
      <c r="Q313">
        <f>Q312+(Q312*E313/100)</f>
        <v>1365.2886143308235</v>
      </c>
    </row>
    <row r="314" spans="1:17" x14ac:dyDescent="0.25">
      <c r="A314" s="1">
        <v>45524</v>
      </c>
      <c r="B314">
        <v>-0.23610626530874401</v>
      </c>
      <c r="C314">
        <v>-0.111202147456623</v>
      </c>
      <c r="D314">
        <v>-0.36571891165103598</v>
      </c>
      <c r="E314">
        <v>0.119621149418214</v>
      </c>
      <c r="F314" s="3">
        <v>1.10709576302377E-2</v>
      </c>
      <c r="G314">
        <f t="shared" si="38"/>
        <v>-2.98650556821877E-2</v>
      </c>
      <c r="H314" t="str">
        <f>IF(F314&gt;$T$2,"buy",IF(F314&lt;0,"sell","keep"))</f>
        <v>keep</v>
      </c>
      <c r="I314" t="str">
        <f t="shared" si="40"/>
        <v>sell</v>
      </c>
      <c r="J314">
        <f t="shared" si="39"/>
        <v>0</v>
      </c>
      <c r="K314" t="str">
        <f t="shared" si="41"/>
        <v>sell</v>
      </c>
      <c r="L314">
        <f t="shared" si="36"/>
        <v>0</v>
      </c>
      <c r="M314">
        <f t="shared" si="37"/>
        <v>1</v>
      </c>
      <c r="N314">
        <f t="shared" si="42"/>
        <v>0</v>
      </c>
      <c r="O314">
        <f t="shared" si="43"/>
        <v>1256.3970341494819</v>
      </c>
      <c r="P314">
        <f t="shared" si="44"/>
        <v>0</v>
      </c>
      <c r="Q314">
        <f>Q313+(Q313*E314/100)</f>
        <v>1366.9217882641622</v>
      </c>
    </row>
    <row r="315" spans="1:17" x14ac:dyDescent="0.25">
      <c r="A315" s="1">
        <v>45525</v>
      </c>
      <c r="B315">
        <v>0.53255825654470101</v>
      </c>
      <c r="C315">
        <v>0.80336034544052903</v>
      </c>
      <c r="D315">
        <v>0.19371158481011799</v>
      </c>
      <c r="E315">
        <v>-2.98650556821877E-2</v>
      </c>
      <c r="F315" s="3">
        <v>0.21896596321543799</v>
      </c>
      <c r="G315">
        <f t="shared" si="38"/>
        <v>0.35852375242373302</v>
      </c>
      <c r="H315" t="str">
        <f>IF(F315&gt;$T$2,"buy",IF(F315&lt;0,"sell","keep"))</f>
        <v>buy</v>
      </c>
      <c r="I315" t="str">
        <f t="shared" si="40"/>
        <v>buy</v>
      </c>
      <c r="J315">
        <f t="shared" si="39"/>
        <v>1</v>
      </c>
      <c r="K315" t="str">
        <f t="shared" si="41"/>
        <v>buy</v>
      </c>
      <c r="L315">
        <f t="shared" si="36"/>
        <v>1</v>
      </c>
      <c r="M315">
        <f t="shared" si="37"/>
        <v>0</v>
      </c>
      <c r="N315">
        <f t="shared" si="42"/>
        <v>1</v>
      </c>
      <c r="O315">
        <f t="shared" si="43"/>
        <v>0</v>
      </c>
      <c r="P315">
        <f t="shared" si="44"/>
        <v>1256.3970341494819</v>
      </c>
      <c r="Q315">
        <f>Q314+(Q314*E315/100)</f>
        <v>1366.5135563109652</v>
      </c>
    </row>
    <row r="316" spans="1:17" x14ac:dyDescent="0.25">
      <c r="A316" s="1">
        <v>45526</v>
      </c>
      <c r="B316">
        <v>-1.67971092137212</v>
      </c>
      <c r="C316">
        <v>-8.6585576298480998E-3</v>
      </c>
      <c r="D316">
        <v>-8.1396057096283503E-2</v>
      </c>
      <c r="E316">
        <v>0.35852375242373302</v>
      </c>
      <c r="F316" s="3">
        <v>-5.1401979833248096E-3</v>
      </c>
      <c r="G316">
        <f t="shared" si="38"/>
        <v>1.0717468012614</v>
      </c>
      <c r="H316" t="str">
        <f>IF(F316&gt;$T$2,"buy",IF(F316&lt;0,"sell","keep"))</f>
        <v>sell</v>
      </c>
      <c r="I316" t="str">
        <f t="shared" si="40"/>
        <v>sell</v>
      </c>
      <c r="J316">
        <f t="shared" si="39"/>
        <v>0</v>
      </c>
      <c r="K316" t="str">
        <f t="shared" si="41"/>
        <v>sell</v>
      </c>
      <c r="L316">
        <f t="shared" si="36"/>
        <v>0</v>
      </c>
      <c r="M316">
        <f t="shared" si="37"/>
        <v>1</v>
      </c>
      <c r="N316">
        <f t="shared" si="42"/>
        <v>0</v>
      </c>
      <c r="O316">
        <f t="shared" si="43"/>
        <v>1260.9015159416551</v>
      </c>
      <c r="P316">
        <f t="shared" si="44"/>
        <v>0</v>
      </c>
      <c r="Q316">
        <f>Q315+(Q315*E316/100)</f>
        <v>1371.4128319904303</v>
      </c>
    </row>
    <row r="317" spans="1:17" x14ac:dyDescent="0.25">
      <c r="A317" s="1">
        <v>45527</v>
      </c>
      <c r="B317">
        <v>1.17500091685001</v>
      </c>
      <c r="C317">
        <v>0.87284470849604501</v>
      </c>
      <c r="D317">
        <v>0.60090444552109901</v>
      </c>
      <c r="E317">
        <v>1.0717468012614</v>
      </c>
      <c r="F317" s="3">
        <v>0.30034432150333301</v>
      </c>
      <c r="G317">
        <f t="shared" si="38"/>
        <v>0</v>
      </c>
      <c r="H317" t="str">
        <f>IF(F317&gt;$T$2,"buy",IF(F317&lt;0,"sell","keep"))</f>
        <v>buy</v>
      </c>
      <c r="I317" t="str">
        <f t="shared" si="40"/>
        <v>buy</v>
      </c>
      <c r="J317">
        <f t="shared" si="39"/>
        <v>0</v>
      </c>
      <c r="K317" t="str">
        <f t="shared" si="41"/>
        <v>buy</v>
      </c>
      <c r="L317">
        <f t="shared" si="36"/>
        <v>1</v>
      </c>
      <c r="M317">
        <f t="shared" si="37"/>
        <v>0</v>
      </c>
      <c r="N317">
        <f t="shared" si="42"/>
        <v>0</v>
      </c>
      <c r="O317">
        <f t="shared" si="43"/>
        <v>0</v>
      </c>
      <c r="P317">
        <f t="shared" si="44"/>
        <v>1260.9015159416551</v>
      </c>
      <c r="Q317">
        <f>Q316+(Q316*E317/100)</f>
        <v>1386.1109051493761</v>
      </c>
    </row>
    <row r="318" spans="1:17" x14ac:dyDescent="0.25">
      <c r="A318" s="1">
        <v>45530</v>
      </c>
      <c r="B318">
        <v>-1.03661601343357</v>
      </c>
      <c r="C318">
        <v>0.58401835787842404</v>
      </c>
      <c r="D318">
        <v>-5.56815079478356E-2</v>
      </c>
      <c r="E318">
        <v>0</v>
      </c>
      <c r="F318" s="3">
        <v>0.10878933608789899</v>
      </c>
      <c r="G318">
        <f t="shared" si="38"/>
        <v>0.29455159452995699</v>
      </c>
      <c r="H318" t="str">
        <f>IF(F318&gt;$T$2,"buy",IF(F318&lt;0,"sell","keep"))</f>
        <v>keep</v>
      </c>
      <c r="I318" t="str">
        <f t="shared" si="40"/>
        <v>sell</v>
      </c>
      <c r="J318">
        <f t="shared" si="39"/>
        <v>1</v>
      </c>
      <c r="K318" t="str">
        <f t="shared" si="41"/>
        <v>sell</v>
      </c>
      <c r="L318">
        <f t="shared" si="36"/>
        <v>0</v>
      </c>
      <c r="M318">
        <f t="shared" si="37"/>
        <v>1</v>
      </c>
      <c r="N318">
        <f t="shared" si="42"/>
        <v>1</v>
      </c>
      <c r="O318">
        <f t="shared" si="43"/>
        <v>1260.9015159416551</v>
      </c>
      <c r="P318">
        <f t="shared" si="44"/>
        <v>0</v>
      </c>
      <c r="Q318">
        <f>Q317+(Q317*E318/100)</f>
        <v>1386.1109051493761</v>
      </c>
    </row>
    <row r="319" spans="1:17" x14ac:dyDescent="0.25">
      <c r="A319" s="1">
        <v>45531</v>
      </c>
      <c r="B319">
        <v>0.33346286489044302</v>
      </c>
      <c r="C319">
        <v>0.82823519347692198</v>
      </c>
      <c r="D319">
        <v>-0.76984881789471304</v>
      </c>
      <c r="E319">
        <v>0.29455159452995699</v>
      </c>
      <c r="F319" s="3">
        <v>0.109322123058615</v>
      </c>
      <c r="G319">
        <f t="shared" si="38"/>
        <v>0.76358735454207205</v>
      </c>
      <c r="H319" t="str">
        <f>IF(F319&gt;$T$2,"buy",IF(F319&lt;0,"sell","keep"))</f>
        <v>keep</v>
      </c>
      <c r="I319" t="str">
        <f t="shared" si="40"/>
        <v>sell</v>
      </c>
      <c r="J319">
        <f t="shared" si="39"/>
        <v>1</v>
      </c>
      <c r="K319" t="str">
        <f t="shared" si="41"/>
        <v>keep</v>
      </c>
      <c r="L319">
        <f t="shared" si="36"/>
        <v>0</v>
      </c>
      <c r="M319">
        <f t="shared" si="37"/>
        <v>0</v>
      </c>
      <c r="N319">
        <f t="shared" si="42"/>
        <v>0</v>
      </c>
      <c r="O319">
        <f t="shared" si="43"/>
        <v>1260.9015159416551</v>
      </c>
      <c r="P319">
        <f t="shared" si="44"/>
        <v>0</v>
      </c>
      <c r="Q319">
        <f>Q318+(Q318*E319/100)</f>
        <v>1390.1937169224473</v>
      </c>
    </row>
    <row r="320" spans="1:17" x14ac:dyDescent="0.25">
      <c r="A320" s="1">
        <v>45532</v>
      </c>
      <c r="B320">
        <v>-1.17835714438179</v>
      </c>
      <c r="C320">
        <v>0.10586795817846199</v>
      </c>
      <c r="D320">
        <v>-0.26542424716471302</v>
      </c>
      <c r="E320">
        <v>0.76358735454207205</v>
      </c>
      <c r="F320" s="3">
        <v>2.53608613246461E-2</v>
      </c>
      <c r="G320">
        <f t="shared" si="38"/>
        <v>-2.9154296979094701E-2</v>
      </c>
      <c r="H320" t="str">
        <f>IF(F320&gt;$T$2,"buy",IF(F320&lt;0,"sell","keep"))</f>
        <v>keep</v>
      </c>
      <c r="I320" t="str">
        <f t="shared" si="40"/>
        <v>sell</v>
      </c>
      <c r="J320">
        <f t="shared" si="39"/>
        <v>0</v>
      </c>
      <c r="K320" t="str">
        <f t="shared" si="41"/>
        <v>keep</v>
      </c>
      <c r="L320">
        <f t="shared" ref="L320:L383" si="45">IF(K320="buy",1,0)</f>
        <v>0</v>
      </c>
      <c r="M320">
        <f t="shared" ref="M320:M383" si="46">IF(K320="sell",1,0)</f>
        <v>0</v>
      </c>
      <c r="N320">
        <f t="shared" si="42"/>
        <v>0</v>
      </c>
      <c r="O320">
        <f t="shared" si="43"/>
        <v>1260.9015159416551</v>
      </c>
      <c r="P320">
        <f t="shared" si="44"/>
        <v>0</v>
      </c>
      <c r="Q320">
        <f>Q319+(Q319*E320/100)</f>
        <v>1400.8090603485055</v>
      </c>
    </row>
    <row r="321" spans="1:17" x14ac:dyDescent="0.25">
      <c r="A321" s="1">
        <v>45533</v>
      </c>
      <c r="B321">
        <v>-0.13089952469815799</v>
      </c>
      <c r="C321">
        <v>-2.3273952183577799E-2</v>
      </c>
      <c r="D321">
        <v>-0.112596567508704</v>
      </c>
      <c r="E321">
        <v>-2.9154296979094701E-2</v>
      </c>
      <c r="F321" s="3">
        <v>6.2158149465192401E-2</v>
      </c>
      <c r="G321">
        <f t="shared" si="38"/>
        <v>0.29155769184352398</v>
      </c>
      <c r="H321" t="str">
        <f>IF(F321&gt;$T$2,"buy",IF(F321&lt;0,"sell","keep"))</f>
        <v>keep</v>
      </c>
      <c r="I321" t="str">
        <f t="shared" si="40"/>
        <v>sell</v>
      </c>
      <c r="J321">
        <f t="shared" si="39"/>
        <v>1</v>
      </c>
      <c r="K321" t="str">
        <f t="shared" si="41"/>
        <v>keep</v>
      </c>
      <c r="L321">
        <f t="shared" si="45"/>
        <v>0</v>
      </c>
      <c r="M321">
        <f t="shared" si="46"/>
        <v>0</v>
      </c>
      <c r="N321">
        <f t="shared" si="42"/>
        <v>0</v>
      </c>
      <c r="O321">
        <f t="shared" si="43"/>
        <v>1260.9015159416551</v>
      </c>
      <c r="P321">
        <f t="shared" si="44"/>
        <v>0</v>
      </c>
      <c r="Q321">
        <f>Q320+(Q320*E321/100)</f>
        <v>1400.4006643149414</v>
      </c>
    </row>
    <row r="322" spans="1:17" x14ac:dyDescent="0.25">
      <c r="A322" s="1">
        <v>45534</v>
      </c>
      <c r="B322">
        <v>1.2894469020064501</v>
      </c>
      <c r="C322">
        <v>1.1676805730792501</v>
      </c>
      <c r="D322">
        <v>0.578966788211698</v>
      </c>
      <c r="E322">
        <v>0.29155769184352398</v>
      </c>
      <c r="F322" s="3">
        <v>0.34046778057316601</v>
      </c>
      <c r="G322">
        <f t="shared" ref="G322:G385" si="47">E323</f>
        <v>-0.37529085389226202</v>
      </c>
      <c r="H322" t="str">
        <f>IF(F322&gt;$T$2,"buy",IF(F322&lt;0,"sell","keep"))</f>
        <v>buy</v>
      </c>
      <c r="I322" t="str">
        <f t="shared" si="40"/>
        <v>buy</v>
      </c>
      <c r="J322">
        <f t="shared" ref="J322:J385" si="48">IF(OR(AND(F322&lt;0,G322&lt;0),AND(F322&gt;0,G322&gt;0)),1,0)</f>
        <v>0</v>
      </c>
      <c r="K322" t="str">
        <f t="shared" si="41"/>
        <v>buy</v>
      </c>
      <c r="L322">
        <f t="shared" si="45"/>
        <v>1</v>
      </c>
      <c r="M322">
        <f t="shared" si="46"/>
        <v>0</v>
      </c>
      <c r="N322">
        <f t="shared" si="42"/>
        <v>0</v>
      </c>
      <c r="O322">
        <f t="shared" si="43"/>
        <v>0</v>
      </c>
      <c r="P322">
        <f t="shared" si="44"/>
        <v>1260.9015159416551</v>
      </c>
      <c r="Q322">
        <f>Q321+(Q321*E322/100)</f>
        <v>1404.4836401683795</v>
      </c>
    </row>
    <row r="323" spans="1:17" x14ac:dyDescent="0.25">
      <c r="A323" s="1">
        <v>45539</v>
      </c>
      <c r="B323">
        <v>-0.196953190393411</v>
      </c>
      <c r="C323">
        <v>-0.1121216108941</v>
      </c>
      <c r="D323">
        <v>-0.343974376883804</v>
      </c>
      <c r="E323">
        <v>-0.37529085389226202</v>
      </c>
      <c r="F323" s="3">
        <v>2.2631822255632001E-2</v>
      </c>
      <c r="G323">
        <f t="shared" si="47"/>
        <v>0.60852907267878698</v>
      </c>
      <c r="H323" t="str">
        <f>IF(F323&gt;$T$2,"buy",IF(F323&lt;0,"sell","keep"))</f>
        <v>keep</v>
      </c>
      <c r="I323" t="str">
        <f t="shared" ref="I323:I386" si="49">IF(F323&gt;$T$2,"buy",IF(F323&lt;$T$3,"sell","keep"))</f>
        <v>sell</v>
      </c>
      <c r="J323">
        <f t="shared" si="48"/>
        <v>1</v>
      </c>
      <c r="K323" t="str">
        <f t="shared" ref="K323:K386" si="50">IF(AND(I323="sell",P322&lt;&gt;0),"sell",IF(AND(I323="buy",O322&lt;&gt;0),"buy","keep"))</f>
        <v>sell</v>
      </c>
      <c r="L323">
        <f t="shared" si="45"/>
        <v>0</v>
      </c>
      <c r="M323">
        <f t="shared" si="46"/>
        <v>1</v>
      </c>
      <c r="N323">
        <f t="shared" ref="N323:N386" si="51">IF(AND(J323=1,OR(L323=1,M323=1)),1,0)</f>
        <v>1</v>
      </c>
      <c r="O323">
        <f t="shared" si="43"/>
        <v>1256.1694678757372</v>
      </c>
      <c r="P323">
        <f t="shared" si="44"/>
        <v>0</v>
      </c>
      <c r="Q323">
        <f>Q322+(Q322*E323/100)</f>
        <v>1399.2127415224145</v>
      </c>
    </row>
    <row r="324" spans="1:17" x14ac:dyDescent="0.25">
      <c r="A324" s="1">
        <v>45540</v>
      </c>
      <c r="B324">
        <v>4.7193586709504097E-2</v>
      </c>
      <c r="C324">
        <v>-1.40004778221403</v>
      </c>
      <c r="D324">
        <v>-2.10648216777509</v>
      </c>
      <c r="E324">
        <v>0.60852907267878698</v>
      </c>
      <c r="F324" s="3">
        <v>-0.32192481066065098</v>
      </c>
      <c r="G324">
        <f t="shared" si="47"/>
        <v>-0.66244528671410796</v>
      </c>
      <c r="H324" t="str">
        <f>IF(F324&gt;$T$2,"buy",IF(F324&lt;0,"sell","keep"))</f>
        <v>sell</v>
      </c>
      <c r="I324" t="str">
        <f t="shared" si="49"/>
        <v>sell</v>
      </c>
      <c r="J324">
        <f t="shared" si="48"/>
        <v>1</v>
      </c>
      <c r="K324" t="str">
        <f t="shared" si="50"/>
        <v>keep</v>
      </c>
      <c r="L324">
        <f t="shared" si="45"/>
        <v>0</v>
      </c>
      <c r="M324">
        <f t="shared" si="46"/>
        <v>0</v>
      </c>
      <c r="N324">
        <f t="shared" si="51"/>
        <v>0</v>
      </c>
      <c r="O324">
        <f t="shared" ref="O324:O387" si="52">IF(K324="sell",P323+(P323*E324/100),IF(K324="buy",0,O323))</f>
        <v>1256.1694678757372</v>
      </c>
      <c r="P324">
        <f t="shared" ref="P324:P387" si="53">IF(K324="buy",O323,IF(K324="sell",0,IF(AND(K324="keep",P323&lt;&gt;0),P323+(P323*E323/100),P323)))</f>
        <v>0</v>
      </c>
      <c r="Q324">
        <f>Q323+(Q323*E324/100)</f>
        <v>1407.7273578432043</v>
      </c>
    </row>
    <row r="325" spans="1:17" x14ac:dyDescent="0.25">
      <c r="A325" s="1">
        <v>45541</v>
      </c>
      <c r="B325">
        <v>-2.6889099616820702</v>
      </c>
      <c r="C325">
        <v>-1.86242442845111</v>
      </c>
      <c r="D325">
        <v>0.27999434886003499</v>
      </c>
      <c r="E325">
        <v>-0.66244528671410796</v>
      </c>
      <c r="F325" s="3">
        <v>-0.210525073483426</v>
      </c>
      <c r="G325">
        <f t="shared" si="47"/>
        <v>1.2177405033998601</v>
      </c>
      <c r="H325" t="str">
        <f>IF(F325&gt;$T$2,"buy",IF(F325&lt;0,"sell","keep"))</f>
        <v>sell</v>
      </c>
      <c r="I325" t="str">
        <f t="shared" si="49"/>
        <v>sell</v>
      </c>
      <c r="J325">
        <f t="shared" si="48"/>
        <v>0</v>
      </c>
      <c r="K325" t="str">
        <f t="shared" si="50"/>
        <v>keep</v>
      </c>
      <c r="L325">
        <f t="shared" si="45"/>
        <v>0</v>
      </c>
      <c r="M325">
        <f t="shared" si="46"/>
        <v>0</v>
      </c>
      <c r="N325">
        <f t="shared" si="51"/>
        <v>0</v>
      </c>
      <c r="O325">
        <f t="shared" si="52"/>
        <v>1256.1694678757372</v>
      </c>
      <c r="P325">
        <f t="shared" si="53"/>
        <v>0</v>
      </c>
      <c r="Q325">
        <f>Q324+(Q324*E325/100)</f>
        <v>1398.4019343113871</v>
      </c>
    </row>
    <row r="326" spans="1:17" x14ac:dyDescent="0.25">
      <c r="A326" s="1">
        <v>45544</v>
      </c>
      <c r="B326">
        <v>1.29995501346469</v>
      </c>
      <c r="C326">
        <v>1.36368423650883</v>
      </c>
      <c r="D326">
        <v>1.5615227622297301</v>
      </c>
      <c r="E326">
        <v>1.2177405033998601</v>
      </c>
      <c r="F326" s="3">
        <v>0.45940779980430102</v>
      </c>
      <c r="G326">
        <f t="shared" si="47"/>
        <v>0.143231576979441</v>
      </c>
      <c r="H326" t="str">
        <f>IF(F326&gt;$T$2,"buy",IF(F326&lt;0,"sell","keep"))</f>
        <v>buy</v>
      </c>
      <c r="I326" t="str">
        <f t="shared" si="49"/>
        <v>buy</v>
      </c>
      <c r="J326">
        <f t="shared" si="48"/>
        <v>1</v>
      </c>
      <c r="K326" t="str">
        <f t="shared" si="50"/>
        <v>buy</v>
      </c>
      <c r="L326">
        <f t="shared" si="45"/>
        <v>1</v>
      </c>
      <c r="M326">
        <f t="shared" si="46"/>
        <v>0</v>
      </c>
      <c r="N326">
        <f t="shared" si="51"/>
        <v>1</v>
      </c>
      <c r="O326">
        <f t="shared" si="52"/>
        <v>0</v>
      </c>
      <c r="P326">
        <f t="shared" si="53"/>
        <v>1256.1694678757372</v>
      </c>
      <c r="Q326">
        <f>Q325+(Q325*E326/100)</f>
        <v>1415.4308410658239</v>
      </c>
    </row>
    <row r="327" spans="1:17" x14ac:dyDescent="0.25">
      <c r="A327" s="1">
        <v>45545</v>
      </c>
      <c r="B327">
        <v>0.90222024196595596</v>
      </c>
      <c r="C327">
        <v>0.13819621813042601</v>
      </c>
      <c r="D327">
        <v>1.4917159749778299</v>
      </c>
      <c r="E327">
        <v>0.143231576979441</v>
      </c>
      <c r="F327" s="3">
        <v>0.29193369952408899</v>
      </c>
      <c r="G327">
        <f t="shared" si="47"/>
        <v>0.97254029566824496</v>
      </c>
      <c r="H327" t="str">
        <f>IF(F327&gt;$T$2,"buy",IF(F327&lt;0,"sell","keep"))</f>
        <v>buy</v>
      </c>
      <c r="I327" t="str">
        <f t="shared" si="49"/>
        <v>buy</v>
      </c>
      <c r="J327">
        <f t="shared" si="48"/>
        <v>1</v>
      </c>
      <c r="K327" t="str">
        <f t="shared" si="50"/>
        <v>keep</v>
      </c>
      <c r="L327">
        <f t="shared" si="45"/>
        <v>0</v>
      </c>
      <c r="M327">
        <f t="shared" si="46"/>
        <v>0</v>
      </c>
      <c r="N327">
        <f t="shared" si="51"/>
        <v>0</v>
      </c>
      <c r="O327">
        <f t="shared" si="52"/>
        <v>0</v>
      </c>
      <c r="P327">
        <f t="shared" si="53"/>
        <v>1271.4663522774024</v>
      </c>
      <c r="Q327">
        <f>Q326+(Q326*E327/100)</f>
        <v>1417.4581849805359</v>
      </c>
    </row>
    <row r="328" spans="1:17" x14ac:dyDescent="0.25">
      <c r="A328" s="1">
        <v>45546</v>
      </c>
      <c r="B328">
        <v>2.16770464663731</v>
      </c>
      <c r="C328">
        <v>0.29974668775762903</v>
      </c>
      <c r="D328">
        <v>-2.3877702349398602</v>
      </c>
      <c r="E328">
        <v>0.97254029566824496</v>
      </c>
      <c r="F328" s="3">
        <v>-9.1299153117975498E-2</v>
      </c>
      <c r="G328">
        <f t="shared" si="47"/>
        <v>0.84984919753414701</v>
      </c>
      <c r="H328" t="str">
        <f>IF(F328&gt;$T$2,"buy",IF(F328&lt;0,"sell","keep"))</f>
        <v>sell</v>
      </c>
      <c r="I328" t="str">
        <f t="shared" si="49"/>
        <v>sell</v>
      </c>
      <c r="J328">
        <f t="shared" si="48"/>
        <v>0</v>
      </c>
      <c r="K328" t="str">
        <f t="shared" si="50"/>
        <v>sell</v>
      </c>
      <c r="L328">
        <f t="shared" si="45"/>
        <v>0</v>
      </c>
      <c r="M328">
        <f t="shared" si="46"/>
        <v>1</v>
      </c>
      <c r="N328">
        <f t="shared" si="51"/>
        <v>0</v>
      </c>
      <c r="O328">
        <f t="shared" si="52"/>
        <v>1283.8318748991633</v>
      </c>
      <c r="P328">
        <f t="shared" si="53"/>
        <v>0</v>
      </c>
      <c r="Q328">
        <f>Q327+(Q327*E328/100)</f>
        <v>1431.2435370037192</v>
      </c>
    </row>
    <row r="329" spans="1:17" x14ac:dyDescent="0.25">
      <c r="A329" s="1">
        <v>45547</v>
      </c>
      <c r="B329">
        <v>0.96567358052157504</v>
      </c>
      <c r="C329">
        <v>0.47946472300866</v>
      </c>
      <c r="D329">
        <v>-0.29292569037139199</v>
      </c>
      <c r="E329">
        <v>0.84984919753414701</v>
      </c>
      <c r="F329" s="3">
        <v>0.145232182218238</v>
      </c>
      <c r="G329">
        <f t="shared" si="47"/>
        <v>1.34832503304236</v>
      </c>
      <c r="H329" t="str">
        <f>IF(F329&gt;$T$2,"buy",IF(F329&lt;0,"sell","keep"))</f>
        <v>keep</v>
      </c>
      <c r="I329" t="str">
        <f t="shared" si="49"/>
        <v>sell</v>
      </c>
      <c r="J329">
        <f t="shared" si="48"/>
        <v>1</v>
      </c>
      <c r="K329" t="str">
        <f t="shared" si="50"/>
        <v>keep</v>
      </c>
      <c r="L329">
        <f t="shared" si="45"/>
        <v>0</v>
      </c>
      <c r="M329">
        <f t="shared" si="46"/>
        <v>0</v>
      </c>
      <c r="N329">
        <f t="shared" si="51"/>
        <v>0</v>
      </c>
      <c r="O329">
        <f t="shared" si="52"/>
        <v>1283.8318748991633</v>
      </c>
      <c r="P329">
        <f t="shared" si="53"/>
        <v>0</v>
      </c>
      <c r="Q329">
        <f>Q328+(Q328*E329/100)</f>
        <v>1443.4069487177046</v>
      </c>
    </row>
    <row r="330" spans="1:17" x14ac:dyDescent="0.25">
      <c r="A330" s="1">
        <v>45548</v>
      </c>
      <c r="B330">
        <v>0.47118982620941702</v>
      </c>
      <c r="C330">
        <v>0.31455767364199</v>
      </c>
      <c r="D330">
        <v>9.79315121209412E-2</v>
      </c>
      <c r="E330">
        <v>1.34832503304236</v>
      </c>
      <c r="F330" s="3">
        <v>0.15816668733216299</v>
      </c>
      <c r="G330">
        <f t="shared" si="47"/>
        <v>0.30487550183715401</v>
      </c>
      <c r="H330" t="str">
        <f>IF(F330&gt;$T$2,"buy",IF(F330&lt;0,"sell","keep"))</f>
        <v>buy</v>
      </c>
      <c r="I330" t="str">
        <f t="shared" si="49"/>
        <v>buy</v>
      </c>
      <c r="J330">
        <f t="shared" si="48"/>
        <v>1</v>
      </c>
      <c r="K330" t="str">
        <f t="shared" si="50"/>
        <v>buy</v>
      </c>
      <c r="L330">
        <f t="shared" si="45"/>
        <v>1</v>
      </c>
      <c r="M330">
        <f t="shared" si="46"/>
        <v>0</v>
      </c>
      <c r="N330">
        <f t="shared" si="51"/>
        <v>1</v>
      </c>
      <c r="O330">
        <f t="shared" si="52"/>
        <v>0</v>
      </c>
      <c r="P330">
        <f t="shared" si="53"/>
        <v>1283.8318748991633</v>
      </c>
      <c r="Q330">
        <f>Q329+(Q329*E330/100)</f>
        <v>1462.8687659359384</v>
      </c>
    </row>
    <row r="331" spans="1:17" x14ac:dyDescent="0.25">
      <c r="A331" s="1">
        <v>45551</v>
      </c>
      <c r="B331">
        <v>-0.469030082660504</v>
      </c>
      <c r="C331">
        <v>1.3011551787903</v>
      </c>
      <c r="D331">
        <v>0.78265255131313405</v>
      </c>
      <c r="E331">
        <v>0.30487550183715401</v>
      </c>
      <c r="F331" s="3">
        <v>0.31987649443346799</v>
      </c>
      <c r="G331">
        <f t="shared" si="47"/>
        <v>-0.110525840037467</v>
      </c>
      <c r="H331" t="str">
        <f>IF(F331&gt;$T$2,"buy",IF(F331&lt;0,"sell","keep"))</f>
        <v>buy</v>
      </c>
      <c r="I331" t="str">
        <f t="shared" si="49"/>
        <v>buy</v>
      </c>
      <c r="J331">
        <f t="shared" si="48"/>
        <v>0</v>
      </c>
      <c r="K331" t="str">
        <f t="shared" si="50"/>
        <v>keep</v>
      </c>
      <c r="L331">
        <f t="shared" si="45"/>
        <v>0</v>
      </c>
      <c r="M331">
        <f t="shared" si="46"/>
        <v>0</v>
      </c>
      <c r="N331">
        <f t="shared" si="51"/>
        <v>0</v>
      </c>
      <c r="O331">
        <f t="shared" si="52"/>
        <v>0</v>
      </c>
      <c r="P331">
        <f t="shared" si="53"/>
        <v>1301.1421014506057</v>
      </c>
      <c r="Q331">
        <f>Q330+(Q330*E331/100)</f>
        <v>1467.3286944273045</v>
      </c>
    </row>
    <row r="332" spans="1:17" x14ac:dyDescent="0.25">
      <c r="A332" s="1">
        <v>45552</v>
      </c>
      <c r="B332">
        <v>4.80863648005369E-2</v>
      </c>
      <c r="C332">
        <v>-0.68433143480057801</v>
      </c>
      <c r="D332">
        <v>-1.1648702030584801</v>
      </c>
      <c r="E332">
        <v>-0.110525840037467</v>
      </c>
      <c r="F332" s="3">
        <v>-0.11051626055474099</v>
      </c>
      <c r="G332">
        <f t="shared" si="47"/>
        <v>-0.442603656335538</v>
      </c>
      <c r="H332" t="str">
        <f>IF(F332&gt;$T$2,"buy",IF(F332&lt;0,"sell","keep"))</f>
        <v>sell</v>
      </c>
      <c r="I332" t="str">
        <f t="shared" si="49"/>
        <v>sell</v>
      </c>
      <c r="J332">
        <f t="shared" si="48"/>
        <v>1</v>
      </c>
      <c r="K332" t="str">
        <f t="shared" si="50"/>
        <v>sell</v>
      </c>
      <c r="L332">
        <f t="shared" si="45"/>
        <v>0</v>
      </c>
      <c r="M332">
        <f t="shared" si="46"/>
        <v>1</v>
      </c>
      <c r="N332">
        <f t="shared" si="51"/>
        <v>1</v>
      </c>
      <c r="O332">
        <f t="shared" si="52"/>
        <v>1299.7040032128962</v>
      </c>
      <c r="P332">
        <f t="shared" si="53"/>
        <v>0</v>
      </c>
      <c r="Q332">
        <f>Q331+(Q331*E332/100)</f>
        <v>1465.706917061678</v>
      </c>
    </row>
    <row r="333" spans="1:17" x14ac:dyDescent="0.25">
      <c r="A333" s="1">
        <v>45553</v>
      </c>
      <c r="B333">
        <v>-0.45238958894863102</v>
      </c>
      <c r="C333">
        <v>-0.98164273881796704</v>
      </c>
      <c r="D333">
        <v>-0.263637231585933</v>
      </c>
      <c r="E333">
        <v>-0.442603656335538</v>
      </c>
      <c r="F333" s="3">
        <v>-6.6136296082591306E-2</v>
      </c>
      <c r="G333">
        <f t="shared" si="47"/>
        <v>0.66685143480424902</v>
      </c>
      <c r="H333" t="str">
        <f>IF(F333&gt;$T$2,"buy",IF(F333&lt;0,"sell","keep"))</f>
        <v>sell</v>
      </c>
      <c r="I333" t="str">
        <f t="shared" si="49"/>
        <v>sell</v>
      </c>
      <c r="J333">
        <f t="shared" si="48"/>
        <v>0</v>
      </c>
      <c r="K333" t="str">
        <f t="shared" si="50"/>
        <v>keep</v>
      </c>
      <c r="L333">
        <f t="shared" si="45"/>
        <v>0</v>
      </c>
      <c r="M333">
        <f t="shared" si="46"/>
        <v>0</v>
      </c>
      <c r="N333">
        <f t="shared" si="51"/>
        <v>0</v>
      </c>
      <c r="O333">
        <f t="shared" si="52"/>
        <v>1299.7040032128962</v>
      </c>
      <c r="P333">
        <f t="shared" si="53"/>
        <v>0</v>
      </c>
      <c r="Q333">
        <f>Q332+(Q332*E333/100)</f>
        <v>1459.2196446556002</v>
      </c>
    </row>
    <row r="334" spans="1:17" x14ac:dyDescent="0.25">
      <c r="A334" s="1">
        <v>45554</v>
      </c>
      <c r="B334">
        <v>2.5606249518520898</v>
      </c>
      <c r="C334">
        <v>0.45821046435208201</v>
      </c>
      <c r="D334">
        <v>0.35244271402430299</v>
      </c>
      <c r="E334">
        <v>0.66685143480424902</v>
      </c>
      <c r="F334" s="3">
        <v>0.27192289129107799</v>
      </c>
      <c r="G334">
        <f t="shared" si="47"/>
        <v>5.5207453904770797E-2</v>
      </c>
      <c r="H334" t="str">
        <f>IF(F334&gt;$T$2,"buy",IF(F334&lt;0,"sell","keep"))</f>
        <v>buy</v>
      </c>
      <c r="I334" t="str">
        <f t="shared" si="49"/>
        <v>buy</v>
      </c>
      <c r="J334">
        <f t="shared" si="48"/>
        <v>1</v>
      </c>
      <c r="K334" t="str">
        <f t="shared" si="50"/>
        <v>buy</v>
      </c>
      <c r="L334">
        <f t="shared" si="45"/>
        <v>1</v>
      </c>
      <c r="M334">
        <f t="shared" si="46"/>
        <v>0</v>
      </c>
      <c r="N334">
        <f t="shared" si="51"/>
        <v>1</v>
      </c>
      <c r="O334">
        <f t="shared" si="52"/>
        <v>0</v>
      </c>
      <c r="P334">
        <f t="shared" si="53"/>
        <v>1299.7040032128962</v>
      </c>
      <c r="Q334">
        <f>Q333+(Q333*E334/100)</f>
        <v>1468.9504717929315</v>
      </c>
    </row>
    <row r="335" spans="1:17" x14ac:dyDescent="0.25">
      <c r="A335" s="1">
        <v>45555</v>
      </c>
      <c r="B335">
        <v>-0.243650492769587</v>
      </c>
      <c r="C335">
        <v>0.584019610099062</v>
      </c>
      <c r="D335">
        <v>-7.7464482323519296E-2</v>
      </c>
      <c r="E335">
        <v>5.5207453904770797E-2</v>
      </c>
      <c r="F335" s="3">
        <v>0.14623510106064899</v>
      </c>
      <c r="G335">
        <f t="shared" si="47"/>
        <v>-0.303456826913861</v>
      </c>
      <c r="H335" t="str">
        <f>IF(F335&gt;$T$2,"buy",IF(F335&lt;0,"sell","keep"))</f>
        <v>keep</v>
      </c>
      <c r="I335" t="str">
        <f t="shared" si="49"/>
        <v>sell</v>
      </c>
      <c r="J335">
        <f t="shared" si="48"/>
        <v>0</v>
      </c>
      <c r="K335" t="str">
        <f t="shared" si="50"/>
        <v>sell</v>
      </c>
      <c r="L335">
        <f t="shared" si="45"/>
        <v>0</v>
      </c>
      <c r="M335">
        <f t="shared" si="46"/>
        <v>1</v>
      </c>
      <c r="N335">
        <f t="shared" si="51"/>
        <v>0</v>
      </c>
      <c r="O335">
        <f t="shared" si="52"/>
        <v>1300.4215367013685</v>
      </c>
      <c r="P335">
        <f t="shared" si="53"/>
        <v>0</v>
      </c>
      <c r="Q335">
        <f>Q334+(Q334*E335/100)</f>
        <v>1469.7614419475306</v>
      </c>
    </row>
    <row r="336" spans="1:17" x14ac:dyDescent="0.25">
      <c r="A336" s="1">
        <v>45558</v>
      </c>
      <c r="B336">
        <v>0.30674286603016299</v>
      </c>
      <c r="C336">
        <v>1.1548741151781801</v>
      </c>
      <c r="D336">
        <v>0.186077134052164</v>
      </c>
      <c r="E336">
        <v>-0.303456826913861</v>
      </c>
      <c r="F336" s="3">
        <v>0.25595393704218999</v>
      </c>
      <c r="G336">
        <f t="shared" si="47"/>
        <v>5.5344940091361899E-2</v>
      </c>
      <c r="H336" t="str">
        <f>IF(F336&gt;$T$2,"buy",IF(F336&lt;0,"sell","keep"))</f>
        <v>buy</v>
      </c>
      <c r="I336" t="str">
        <f t="shared" si="49"/>
        <v>buy</v>
      </c>
      <c r="J336">
        <f t="shared" si="48"/>
        <v>1</v>
      </c>
      <c r="K336" t="str">
        <f t="shared" si="50"/>
        <v>buy</v>
      </c>
      <c r="L336">
        <f t="shared" si="45"/>
        <v>1</v>
      </c>
      <c r="M336">
        <f t="shared" si="46"/>
        <v>0</v>
      </c>
      <c r="N336">
        <f t="shared" si="51"/>
        <v>1</v>
      </c>
      <c r="O336">
        <f t="shared" si="52"/>
        <v>0</v>
      </c>
      <c r="P336">
        <f t="shared" si="53"/>
        <v>1300.4215367013685</v>
      </c>
      <c r="Q336">
        <f>Q335+(Q335*E336/100)</f>
        <v>1465.3013505125932</v>
      </c>
    </row>
    <row r="337" spans="1:17" x14ac:dyDescent="0.25">
      <c r="A337" s="1">
        <v>45559</v>
      </c>
      <c r="B337">
        <v>0.46665169928630201</v>
      </c>
      <c r="C337">
        <v>0.41688004138387103</v>
      </c>
      <c r="D337">
        <v>-0.165092853761028</v>
      </c>
      <c r="E337">
        <v>5.5344940091361899E-2</v>
      </c>
      <c r="F337" s="3">
        <v>0.137769575116412</v>
      </c>
      <c r="G337">
        <f t="shared" si="47"/>
        <v>-1.8252171756929501</v>
      </c>
      <c r="H337" t="str">
        <f>IF(F337&gt;$T$2,"buy",IF(F337&lt;0,"sell","keep"))</f>
        <v>keep</v>
      </c>
      <c r="I337" t="str">
        <f t="shared" si="49"/>
        <v>sell</v>
      </c>
      <c r="J337">
        <f t="shared" si="48"/>
        <v>0</v>
      </c>
      <c r="K337" t="str">
        <f t="shared" si="50"/>
        <v>sell</v>
      </c>
      <c r="L337">
        <f t="shared" si="45"/>
        <v>0</v>
      </c>
      <c r="M337">
        <f t="shared" si="46"/>
        <v>1</v>
      </c>
      <c r="N337">
        <f t="shared" si="51"/>
        <v>0</v>
      </c>
      <c r="O337">
        <f t="shared" si="52"/>
        <v>1301.1412542217911</v>
      </c>
      <c r="P337">
        <f t="shared" si="53"/>
        <v>0</v>
      </c>
      <c r="Q337">
        <f>Q336+(Q336*E337/100)</f>
        <v>1466.1123206671923</v>
      </c>
    </row>
    <row r="338" spans="1:17" x14ac:dyDescent="0.25">
      <c r="A338" s="1">
        <v>45560</v>
      </c>
      <c r="B338">
        <v>0.13923165825120401</v>
      </c>
      <c r="C338">
        <v>-0.48816357045540199</v>
      </c>
      <c r="D338">
        <v>-1.1627271552021901</v>
      </c>
      <c r="E338">
        <v>-1.8252171756929501</v>
      </c>
      <c r="F338" s="3">
        <v>-9.0810315462148294E-2</v>
      </c>
      <c r="G338">
        <f t="shared" si="47"/>
        <v>0.78872991977532103</v>
      </c>
      <c r="H338" t="str">
        <f>IF(F338&gt;$T$2,"buy",IF(F338&lt;0,"sell","keep"))</f>
        <v>sell</v>
      </c>
      <c r="I338" t="str">
        <f t="shared" si="49"/>
        <v>sell</v>
      </c>
      <c r="J338">
        <f t="shared" si="48"/>
        <v>0</v>
      </c>
      <c r="K338" t="str">
        <f t="shared" si="50"/>
        <v>keep</v>
      </c>
      <c r="L338">
        <f t="shared" si="45"/>
        <v>0</v>
      </c>
      <c r="M338">
        <f t="shared" si="46"/>
        <v>0</v>
      </c>
      <c r="N338">
        <f t="shared" si="51"/>
        <v>0</v>
      </c>
      <c r="O338">
        <f t="shared" si="52"/>
        <v>1301.1412542217911</v>
      </c>
      <c r="P338">
        <f t="shared" si="53"/>
        <v>0</v>
      </c>
      <c r="Q338">
        <f>Q337+(Q337*E338/100)</f>
        <v>1439.3525867754242</v>
      </c>
    </row>
    <row r="339" spans="1:17" x14ac:dyDescent="0.25">
      <c r="A339" s="1">
        <v>45561</v>
      </c>
      <c r="B339">
        <v>0.71562851311208697</v>
      </c>
      <c r="C339">
        <v>0.97900946374946896</v>
      </c>
      <c r="D339">
        <v>0.33461407837367302</v>
      </c>
      <c r="E339">
        <v>0.78872991977532103</v>
      </c>
      <c r="F339" s="3">
        <v>0.25790089184597997</v>
      </c>
      <c r="G339">
        <f t="shared" si="47"/>
        <v>-0.69872181800659705</v>
      </c>
      <c r="H339" t="str">
        <f>IF(F339&gt;$T$2,"buy",IF(F339&lt;0,"sell","keep"))</f>
        <v>buy</v>
      </c>
      <c r="I339" t="str">
        <f t="shared" si="49"/>
        <v>buy</v>
      </c>
      <c r="J339">
        <f t="shared" si="48"/>
        <v>0</v>
      </c>
      <c r="K339" t="str">
        <f t="shared" si="50"/>
        <v>buy</v>
      </c>
      <c r="L339">
        <f t="shared" si="45"/>
        <v>1</v>
      </c>
      <c r="M339">
        <f t="shared" si="46"/>
        <v>0</v>
      </c>
      <c r="N339">
        <f t="shared" si="51"/>
        <v>0</v>
      </c>
      <c r="O339">
        <f t="shared" si="52"/>
        <v>0</v>
      </c>
      <c r="P339">
        <f t="shared" si="53"/>
        <v>1301.1412542217911</v>
      </c>
      <c r="Q339">
        <f>Q338+(Q338*E339/100)</f>
        <v>1450.705191278382</v>
      </c>
    </row>
    <row r="340" spans="1:17" x14ac:dyDescent="0.25">
      <c r="A340" s="1">
        <v>45562</v>
      </c>
      <c r="B340">
        <v>-0.53152899130763898</v>
      </c>
      <c r="C340">
        <v>-0.45050220604326802</v>
      </c>
      <c r="D340">
        <v>1.5059887597502899</v>
      </c>
      <c r="E340">
        <v>-0.69872181800659705</v>
      </c>
      <c r="F340" s="3">
        <v>0.18640071929438401</v>
      </c>
      <c r="G340">
        <f t="shared" si="47"/>
        <v>-2.8145192359244602</v>
      </c>
      <c r="H340" t="str">
        <f>IF(F340&gt;$T$2,"buy",IF(F340&lt;0,"sell","keep"))</f>
        <v>buy</v>
      </c>
      <c r="I340" t="str">
        <f t="shared" si="49"/>
        <v>buy</v>
      </c>
      <c r="J340">
        <f t="shared" si="48"/>
        <v>0</v>
      </c>
      <c r="K340" t="str">
        <f t="shared" si="50"/>
        <v>keep</v>
      </c>
      <c r="L340">
        <f t="shared" si="45"/>
        <v>0</v>
      </c>
      <c r="M340">
        <f t="shared" si="46"/>
        <v>0</v>
      </c>
      <c r="N340">
        <f t="shared" si="51"/>
        <v>0</v>
      </c>
      <c r="O340">
        <f t="shared" si="52"/>
        <v>0</v>
      </c>
      <c r="P340">
        <f t="shared" si="53"/>
        <v>1311.4037445923782</v>
      </c>
      <c r="Q340">
        <f>Q339+(Q339*E340/100)</f>
        <v>1440.5687975919657</v>
      </c>
    </row>
    <row r="341" spans="1:17" x14ac:dyDescent="0.25">
      <c r="A341" s="1">
        <v>45565</v>
      </c>
      <c r="B341">
        <v>0.260239410496243</v>
      </c>
      <c r="C341">
        <v>-0.55265772117323297</v>
      </c>
      <c r="D341">
        <v>1.38098512837208</v>
      </c>
      <c r="E341">
        <v>-2.8145192359244602</v>
      </c>
      <c r="F341" s="3">
        <v>0.161081224737571</v>
      </c>
      <c r="G341">
        <f t="shared" si="47"/>
        <v>-0.31856092537345598</v>
      </c>
      <c r="H341" t="str">
        <f>IF(F341&gt;$T$2,"buy",IF(F341&lt;0,"sell","keep"))</f>
        <v>buy</v>
      </c>
      <c r="I341" t="str">
        <f t="shared" si="49"/>
        <v>buy</v>
      </c>
      <c r="J341">
        <f t="shared" si="48"/>
        <v>0</v>
      </c>
      <c r="K341" t="str">
        <f t="shared" si="50"/>
        <v>keep</v>
      </c>
      <c r="L341">
        <f t="shared" si="45"/>
        <v>0</v>
      </c>
      <c r="M341">
        <f t="shared" si="46"/>
        <v>0</v>
      </c>
      <c r="N341">
        <f t="shared" si="51"/>
        <v>0</v>
      </c>
      <c r="O341">
        <f t="shared" si="52"/>
        <v>0</v>
      </c>
      <c r="P341">
        <f t="shared" si="53"/>
        <v>1302.2406805067558</v>
      </c>
      <c r="Q341">
        <f>Q340+(Q340*E341/100)</f>
        <v>1400.023711677014</v>
      </c>
    </row>
    <row r="342" spans="1:17" x14ac:dyDescent="0.25">
      <c r="A342" s="1">
        <v>45566</v>
      </c>
      <c r="B342">
        <v>-1.4325961854228799</v>
      </c>
      <c r="C342">
        <v>-0.38585641590054198</v>
      </c>
      <c r="D342">
        <v>-0.263319402469885</v>
      </c>
      <c r="E342">
        <v>-0.31856092537345598</v>
      </c>
      <c r="F342" s="3">
        <v>-4.1253642652638901E-2</v>
      </c>
      <c r="G342">
        <f t="shared" si="47"/>
        <v>5.8098900300840299E-2</v>
      </c>
      <c r="H342" t="str">
        <f>IF(F342&gt;$T$2,"buy",IF(F342&lt;0,"sell","keep"))</f>
        <v>sell</v>
      </c>
      <c r="I342" t="str">
        <f t="shared" si="49"/>
        <v>sell</v>
      </c>
      <c r="J342">
        <f t="shared" si="48"/>
        <v>0</v>
      </c>
      <c r="K342" t="str">
        <f t="shared" si="50"/>
        <v>sell</v>
      </c>
      <c r="L342">
        <f t="shared" si="45"/>
        <v>0</v>
      </c>
      <c r="M342">
        <f t="shared" si="46"/>
        <v>1</v>
      </c>
      <c r="N342">
        <f t="shared" si="51"/>
        <v>0</v>
      </c>
      <c r="O342">
        <f t="shared" si="52"/>
        <v>1298.0922505443439</v>
      </c>
      <c r="P342">
        <f t="shared" si="53"/>
        <v>0</v>
      </c>
      <c r="Q342">
        <f>Q341+(Q341*E342/100)</f>
        <v>1395.5637831856479</v>
      </c>
    </row>
    <row r="343" spans="1:17" x14ac:dyDescent="0.25">
      <c r="A343" s="1">
        <v>45567</v>
      </c>
      <c r="B343">
        <v>0.14812429560457899</v>
      </c>
      <c r="C343">
        <v>0.17262695408610801</v>
      </c>
      <c r="D343">
        <v>-7.1075214669713505E-2</v>
      </c>
      <c r="E343">
        <v>5.8098900300840299E-2</v>
      </c>
      <c r="F343" s="3">
        <v>9.5655889379140296E-2</v>
      </c>
      <c r="G343">
        <f t="shared" si="47"/>
        <v>-1.5098693277066799</v>
      </c>
      <c r="H343" t="str">
        <f>IF(F343&gt;$T$2,"buy",IF(F343&lt;0,"sell","keep"))</f>
        <v>keep</v>
      </c>
      <c r="I343" t="str">
        <f t="shared" si="49"/>
        <v>sell</v>
      </c>
      <c r="J343">
        <f t="shared" si="48"/>
        <v>0</v>
      </c>
      <c r="K343" t="str">
        <f t="shared" si="50"/>
        <v>keep</v>
      </c>
      <c r="L343">
        <f t="shared" si="45"/>
        <v>0</v>
      </c>
      <c r="M343">
        <f t="shared" si="46"/>
        <v>0</v>
      </c>
      <c r="N343">
        <f t="shared" si="51"/>
        <v>0</v>
      </c>
      <c r="O343">
        <f t="shared" si="52"/>
        <v>1298.0922505443439</v>
      </c>
      <c r="P343">
        <f t="shared" si="53"/>
        <v>0</v>
      </c>
      <c r="Q343">
        <f>Q342+(Q342*E343/100)</f>
        <v>1396.3745903966756</v>
      </c>
    </row>
    <row r="344" spans="1:17" x14ac:dyDescent="0.25">
      <c r="A344" s="1">
        <v>45568</v>
      </c>
      <c r="B344">
        <v>-4.6711061901427701E-2</v>
      </c>
      <c r="C344">
        <v>-1.2798264670366399</v>
      </c>
      <c r="D344">
        <v>-0.69608515590394704</v>
      </c>
      <c r="E344">
        <v>-1.5098693277066799</v>
      </c>
      <c r="F344" s="3">
        <v>-0.14652975654966699</v>
      </c>
      <c r="G344">
        <f t="shared" si="47"/>
        <v>1.32664857171393</v>
      </c>
      <c r="H344" t="str">
        <f>IF(F344&gt;$T$2,"buy",IF(F344&lt;0,"sell","keep"))</f>
        <v>sell</v>
      </c>
      <c r="I344" t="str">
        <f t="shared" si="49"/>
        <v>sell</v>
      </c>
      <c r="J344">
        <f t="shared" si="48"/>
        <v>0</v>
      </c>
      <c r="K344" t="str">
        <f t="shared" si="50"/>
        <v>keep</v>
      </c>
      <c r="L344">
        <f t="shared" si="45"/>
        <v>0</v>
      </c>
      <c r="M344">
        <f t="shared" si="46"/>
        <v>0</v>
      </c>
      <c r="N344">
        <f t="shared" si="51"/>
        <v>0</v>
      </c>
      <c r="O344">
        <f t="shared" si="52"/>
        <v>1298.0922505443439</v>
      </c>
      <c r="P344">
        <f t="shared" si="53"/>
        <v>0</v>
      </c>
      <c r="Q344">
        <f>Q343+(Q343*E344/100)</f>
        <v>1375.2911587563863</v>
      </c>
    </row>
    <row r="345" spans="1:17" x14ac:dyDescent="0.25">
      <c r="A345" s="1">
        <v>45569</v>
      </c>
      <c r="B345">
        <v>1.2210151970705101</v>
      </c>
      <c r="C345">
        <v>-0.334235131783511</v>
      </c>
      <c r="D345">
        <v>-0.59349512463570098</v>
      </c>
      <c r="E345">
        <v>1.32664857171393</v>
      </c>
      <c r="F345" s="3">
        <v>2.5148742584558601E-2</v>
      </c>
      <c r="G345">
        <f t="shared" si="47"/>
        <v>0.26186048513001597</v>
      </c>
      <c r="H345" t="str">
        <f>IF(F345&gt;$T$2,"buy",IF(F345&lt;0,"sell","keep"))</f>
        <v>keep</v>
      </c>
      <c r="I345" t="str">
        <f t="shared" si="49"/>
        <v>sell</v>
      </c>
      <c r="J345">
        <f t="shared" si="48"/>
        <v>1</v>
      </c>
      <c r="K345" t="str">
        <f t="shared" si="50"/>
        <v>keep</v>
      </c>
      <c r="L345">
        <f t="shared" si="45"/>
        <v>0</v>
      </c>
      <c r="M345">
        <f t="shared" si="46"/>
        <v>0</v>
      </c>
      <c r="N345">
        <f t="shared" si="51"/>
        <v>0</v>
      </c>
      <c r="O345">
        <f t="shared" si="52"/>
        <v>1298.0922505443439</v>
      </c>
      <c r="P345">
        <f t="shared" si="53"/>
        <v>0</v>
      </c>
      <c r="Q345">
        <f>Q344+(Q344*E345/100)</f>
        <v>1393.5364392709357</v>
      </c>
    </row>
    <row r="346" spans="1:17" x14ac:dyDescent="0.25">
      <c r="A346" s="1">
        <v>45572</v>
      </c>
      <c r="B346">
        <v>-1.1693489817146301</v>
      </c>
      <c r="C346">
        <v>-1.05514128506069</v>
      </c>
      <c r="D346">
        <v>-0.349993793323366</v>
      </c>
      <c r="E346">
        <v>0.26186048513001597</v>
      </c>
      <c r="F346" s="3">
        <v>-0.111805074354135</v>
      </c>
      <c r="G346">
        <f t="shared" si="47"/>
        <v>-0.29019229802608099</v>
      </c>
      <c r="H346" t="str">
        <f>IF(F346&gt;$T$2,"buy",IF(F346&lt;0,"sell","keep"))</f>
        <v>sell</v>
      </c>
      <c r="I346" t="str">
        <f t="shared" si="49"/>
        <v>sell</v>
      </c>
      <c r="J346">
        <f t="shared" si="48"/>
        <v>1</v>
      </c>
      <c r="K346" t="str">
        <f t="shared" si="50"/>
        <v>keep</v>
      </c>
      <c r="L346">
        <f t="shared" si="45"/>
        <v>0</v>
      </c>
      <c r="M346">
        <f t="shared" si="46"/>
        <v>0</v>
      </c>
      <c r="N346">
        <f t="shared" si="51"/>
        <v>0</v>
      </c>
      <c r="O346">
        <f t="shared" si="52"/>
        <v>1298.0922505443439</v>
      </c>
      <c r="P346">
        <f t="shared" si="53"/>
        <v>0</v>
      </c>
      <c r="Q346">
        <f>Q345+(Q345*E346/100)</f>
        <v>1397.1855605512742</v>
      </c>
    </row>
    <row r="347" spans="1:17" x14ac:dyDescent="0.25">
      <c r="A347" s="1">
        <v>45573</v>
      </c>
      <c r="B347">
        <v>1.55064436412819</v>
      </c>
      <c r="C347">
        <v>1.3383975499320799</v>
      </c>
      <c r="D347">
        <v>-0.30989879286086303</v>
      </c>
      <c r="E347">
        <v>-0.29019229802608099</v>
      </c>
      <c r="F347" s="3">
        <v>0.24929275047319999</v>
      </c>
      <c r="G347">
        <f t="shared" si="47"/>
        <v>0.98952300036867502</v>
      </c>
      <c r="H347" t="str">
        <f>IF(F347&gt;$T$2,"buy",IF(F347&lt;0,"sell","keep"))</f>
        <v>buy</v>
      </c>
      <c r="I347" t="str">
        <f t="shared" si="49"/>
        <v>buy</v>
      </c>
      <c r="J347">
        <f t="shared" si="48"/>
        <v>1</v>
      </c>
      <c r="K347" t="str">
        <f t="shared" si="50"/>
        <v>buy</v>
      </c>
      <c r="L347">
        <f t="shared" si="45"/>
        <v>1</v>
      </c>
      <c r="M347">
        <f t="shared" si="46"/>
        <v>0</v>
      </c>
      <c r="N347">
        <f t="shared" si="51"/>
        <v>1</v>
      </c>
      <c r="O347">
        <f t="shared" si="52"/>
        <v>0</v>
      </c>
      <c r="P347">
        <f t="shared" si="53"/>
        <v>1298.0922505443439</v>
      </c>
      <c r="Q347">
        <f>Q346+(Q346*E347/100)</f>
        <v>1393.1310356654219</v>
      </c>
    </row>
    <row r="348" spans="1:17" x14ac:dyDescent="0.25">
      <c r="A348" s="1">
        <v>45574</v>
      </c>
      <c r="B348">
        <v>0.80108338045083904</v>
      </c>
      <c r="C348">
        <v>2.7689042144185501E-2</v>
      </c>
      <c r="D348">
        <v>0.90150938285577997</v>
      </c>
      <c r="E348">
        <v>0.98952300036867502</v>
      </c>
      <c r="F348" s="3">
        <v>0.19949573187427899</v>
      </c>
      <c r="G348">
        <f t="shared" si="47"/>
        <v>0.46109864543804002</v>
      </c>
      <c r="H348" t="str">
        <f>IF(F348&gt;$T$2,"buy",IF(F348&lt;0,"sell","keep"))</f>
        <v>buy</v>
      </c>
      <c r="I348" t="str">
        <f t="shared" si="49"/>
        <v>buy</v>
      </c>
      <c r="J348">
        <f t="shared" si="48"/>
        <v>1</v>
      </c>
      <c r="K348" t="str">
        <f t="shared" si="50"/>
        <v>keep</v>
      </c>
      <c r="L348">
        <f t="shared" si="45"/>
        <v>0</v>
      </c>
      <c r="M348">
        <f t="shared" si="46"/>
        <v>0</v>
      </c>
      <c r="N348">
        <f t="shared" si="51"/>
        <v>0</v>
      </c>
      <c r="O348">
        <f t="shared" si="52"/>
        <v>0</v>
      </c>
      <c r="P348">
        <f t="shared" si="53"/>
        <v>1294.3252868119907</v>
      </c>
      <c r="Q348">
        <f>Q347+(Q347*E348/100)</f>
        <v>1406.9163876886055</v>
      </c>
    </row>
    <row r="349" spans="1:17" x14ac:dyDescent="0.25">
      <c r="A349" s="1">
        <v>45575</v>
      </c>
      <c r="B349">
        <v>-0.133700712376672</v>
      </c>
      <c r="C349">
        <v>-3.1942591862199603E-2</v>
      </c>
      <c r="D349">
        <v>-0.20538707888109101</v>
      </c>
      <c r="E349">
        <v>0.46109864543804002</v>
      </c>
      <c r="F349" s="3">
        <v>5.15976064358665E-2</v>
      </c>
      <c r="G349">
        <f t="shared" si="47"/>
        <v>0.65978487215694304</v>
      </c>
      <c r="H349" t="str">
        <f>IF(F349&gt;$T$2,"buy",IF(F349&lt;0,"sell","keep"))</f>
        <v>keep</v>
      </c>
      <c r="I349" t="str">
        <f t="shared" si="49"/>
        <v>sell</v>
      </c>
      <c r="J349">
        <f t="shared" si="48"/>
        <v>1</v>
      </c>
      <c r="K349" t="str">
        <f t="shared" si="50"/>
        <v>sell</v>
      </c>
      <c r="L349">
        <f t="shared" si="45"/>
        <v>0</v>
      </c>
      <c r="M349">
        <f t="shared" si="46"/>
        <v>1</v>
      </c>
      <c r="N349">
        <f t="shared" si="51"/>
        <v>1</v>
      </c>
      <c r="O349">
        <f t="shared" si="52"/>
        <v>1300.2934031770428</v>
      </c>
      <c r="P349">
        <f t="shared" si="53"/>
        <v>0</v>
      </c>
      <c r="Q349">
        <f>Q348+(Q348*E349/100)</f>
        <v>1413.4036600946833</v>
      </c>
    </row>
    <row r="350" spans="1:17" x14ac:dyDescent="0.25">
      <c r="A350" s="1">
        <v>45576</v>
      </c>
      <c r="B350">
        <v>0.14925054861734099</v>
      </c>
      <c r="C350">
        <v>0.98419245167180602</v>
      </c>
      <c r="D350">
        <v>-8.2333822035596194E-2</v>
      </c>
      <c r="E350">
        <v>0.65978487215694304</v>
      </c>
      <c r="F350" s="3">
        <v>0.189338464648553</v>
      </c>
      <c r="G350">
        <f t="shared" si="47"/>
        <v>0.85493519841326404</v>
      </c>
      <c r="H350" t="str">
        <f>IF(F350&gt;$T$2,"buy",IF(F350&lt;0,"sell","keep"))</f>
        <v>buy</v>
      </c>
      <c r="I350" t="str">
        <f t="shared" si="49"/>
        <v>buy</v>
      </c>
      <c r="J350">
        <f t="shared" si="48"/>
        <v>1</v>
      </c>
      <c r="K350" t="str">
        <f t="shared" si="50"/>
        <v>buy</v>
      </c>
      <c r="L350">
        <f t="shared" si="45"/>
        <v>1</v>
      </c>
      <c r="M350">
        <f t="shared" si="46"/>
        <v>0</v>
      </c>
      <c r="N350">
        <f t="shared" si="51"/>
        <v>1</v>
      </c>
      <c r="O350">
        <f t="shared" si="52"/>
        <v>0</v>
      </c>
      <c r="P350">
        <f t="shared" si="53"/>
        <v>1300.2934031770428</v>
      </c>
      <c r="Q350">
        <f>Q349+(Q349*E350/100)</f>
        <v>1422.7290836265006</v>
      </c>
    </row>
    <row r="351" spans="1:17" x14ac:dyDescent="0.25">
      <c r="A351" s="1">
        <v>45579</v>
      </c>
      <c r="B351">
        <v>0.82419257886576702</v>
      </c>
      <c r="C351">
        <v>0.74676289312867095</v>
      </c>
      <c r="D351">
        <v>0.75183670521581303</v>
      </c>
      <c r="E351">
        <v>0.85493519841326404</v>
      </c>
      <c r="F351" s="3">
        <v>0.27127798305832201</v>
      </c>
      <c r="G351">
        <f t="shared" si="47"/>
        <v>1.21503690068327</v>
      </c>
      <c r="H351" t="str">
        <f>IF(F351&gt;$T$2,"buy",IF(F351&lt;0,"sell","keep"))</f>
        <v>buy</v>
      </c>
      <c r="I351" t="str">
        <f t="shared" si="49"/>
        <v>buy</v>
      </c>
      <c r="J351">
        <f t="shared" si="48"/>
        <v>1</v>
      </c>
      <c r="K351" t="str">
        <f t="shared" si="50"/>
        <v>keep</v>
      </c>
      <c r="L351">
        <f t="shared" si="45"/>
        <v>0</v>
      </c>
      <c r="M351">
        <f t="shared" si="46"/>
        <v>0</v>
      </c>
      <c r="N351">
        <f t="shared" si="51"/>
        <v>0</v>
      </c>
      <c r="O351">
        <f t="shared" si="52"/>
        <v>0</v>
      </c>
      <c r="P351">
        <f t="shared" si="53"/>
        <v>1308.8725423448595</v>
      </c>
      <c r="Q351">
        <f>Q350+(Q350*E351/100)</f>
        <v>1434.892495340486</v>
      </c>
    </row>
    <row r="352" spans="1:17" x14ac:dyDescent="0.25">
      <c r="A352" s="1">
        <v>45580</v>
      </c>
      <c r="B352">
        <v>-1.36611384801268</v>
      </c>
      <c r="C352">
        <v>0.65539311179865201</v>
      </c>
      <c r="D352">
        <v>-1.15403649500577</v>
      </c>
      <c r="E352">
        <v>1.21503690068327</v>
      </c>
      <c r="F352" s="3">
        <v>-2.4128741321628299E-3</v>
      </c>
      <c r="G352">
        <f t="shared" si="47"/>
        <v>-0.167506875018441</v>
      </c>
      <c r="H352" t="str">
        <f>IF(F352&gt;$T$2,"buy",IF(F352&lt;0,"sell","keep"))</f>
        <v>sell</v>
      </c>
      <c r="I352" t="str">
        <f t="shared" si="49"/>
        <v>sell</v>
      </c>
      <c r="J352">
        <f t="shared" si="48"/>
        <v>1</v>
      </c>
      <c r="K352" t="str">
        <f t="shared" si="50"/>
        <v>sell</v>
      </c>
      <c r="L352">
        <f t="shared" si="45"/>
        <v>0</v>
      </c>
      <c r="M352">
        <f t="shared" si="46"/>
        <v>1</v>
      </c>
      <c r="N352">
        <f t="shared" si="51"/>
        <v>1</v>
      </c>
      <c r="O352">
        <f t="shared" si="52"/>
        <v>1324.7758267172608</v>
      </c>
      <c r="P352">
        <f t="shared" si="53"/>
        <v>0</v>
      </c>
      <c r="Q352">
        <f>Q351+(Q351*E352/100)</f>
        <v>1452.3269686440078</v>
      </c>
    </row>
    <row r="353" spans="1:17" x14ac:dyDescent="0.25">
      <c r="A353" s="1">
        <v>45581</v>
      </c>
      <c r="B353">
        <v>7.0539796565194296E-2</v>
      </c>
      <c r="C353">
        <v>0.68024357325093798</v>
      </c>
      <c r="D353">
        <v>-0.72970618755068195</v>
      </c>
      <c r="E353">
        <v>-0.167506875018441</v>
      </c>
      <c r="F353" s="3">
        <v>9.4523282365000794E-2</v>
      </c>
      <c r="G353">
        <f t="shared" si="47"/>
        <v>0.58725775968611005</v>
      </c>
      <c r="H353" t="str">
        <f>IF(F353&gt;$T$2,"buy",IF(F353&lt;0,"sell","keep"))</f>
        <v>keep</v>
      </c>
      <c r="I353" t="str">
        <f t="shared" si="49"/>
        <v>sell</v>
      </c>
      <c r="J353">
        <f t="shared" si="48"/>
        <v>1</v>
      </c>
      <c r="K353" t="str">
        <f t="shared" si="50"/>
        <v>keep</v>
      </c>
      <c r="L353">
        <f t="shared" si="45"/>
        <v>0</v>
      </c>
      <c r="M353">
        <f t="shared" si="46"/>
        <v>0</v>
      </c>
      <c r="N353">
        <f t="shared" si="51"/>
        <v>0</v>
      </c>
      <c r="O353">
        <f t="shared" si="52"/>
        <v>1324.7758267172608</v>
      </c>
      <c r="P353">
        <f t="shared" si="53"/>
        <v>0</v>
      </c>
      <c r="Q353">
        <f>Q352+(Q352*E353/100)</f>
        <v>1449.8942211237822</v>
      </c>
    </row>
    <row r="354" spans="1:17" x14ac:dyDescent="0.25">
      <c r="A354" s="1">
        <v>45582</v>
      </c>
      <c r="B354">
        <v>8.1139582736722199E-2</v>
      </c>
      <c r="C354">
        <v>0.42977279582878603</v>
      </c>
      <c r="D354">
        <v>-0.99232449266677403</v>
      </c>
      <c r="E354">
        <v>0.58725775968611005</v>
      </c>
      <c r="F354" s="3">
        <v>4.3554097446322201E-2</v>
      </c>
      <c r="G354">
        <f t="shared" si="47"/>
        <v>0.30580783500879699</v>
      </c>
      <c r="H354" t="str">
        <f>IF(F354&gt;$T$2,"buy",IF(F354&lt;0,"sell","keep"))</f>
        <v>keep</v>
      </c>
      <c r="I354" t="str">
        <f t="shared" si="49"/>
        <v>sell</v>
      </c>
      <c r="J354">
        <f t="shared" si="48"/>
        <v>1</v>
      </c>
      <c r="K354" t="str">
        <f t="shared" si="50"/>
        <v>keep</v>
      </c>
      <c r="L354">
        <f t="shared" si="45"/>
        <v>0</v>
      </c>
      <c r="M354">
        <f t="shared" si="46"/>
        <v>0</v>
      </c>
      <c r="N354">
        <f t="shared" si="51"/>
        <v>0</v>
      </c>
      <c r="O354">
        <f t="shared" si="52"/>
        <v>1324.7758267172608</v>
      </c>
      <c r="P354">
        <f t="shared" si="53"/>
        <v>0</v>
      </c>
      <c r="Q354">
        <f>Q353+(Q353*E354/100)</f>
        <v>1458.4088374445721</v>
      </c>
    </row>
    <row r="355" spans="1:17" x14ac:dyDescent="0.25">
      <c r="A355" s="1">
        <v>45583</v>
      </c>
      <c r="B355">
        <v>0.661794757820932</v>
      </c>
      <c r="C355">
        <v>8.0245936915201904E-2</v>
      </c>
      <c r="D355">
        <v>0.153782409034874</v>
      </c>
      <c r="E355">
        <v>0.30580783500879699</v>
      </c>
      <c r="F355" s="3">
        <v>0.136800714072282</v>
      </c>
      <c r="G355">
        <f t="shared" si="47"/>
        <v>-0.99778753348690397</v>
      </c>
      <c r="H355" t="str">
        <f>IF(F355&gt;$T$2,"buy",IF(F355&lt;0,"sell","keep"))</f>
        <v>keep</v>
      </c>
      <c r="I355" t="str">
        <f t="shared" si="49"/>
        <v>sell</v>
      </c>
      <c r="J355">
        <f t="shared" si="48"/>
        <v>0</v>
      </c>
      <c r="K355" t="str">
        <f t="shared" si="50"/>
        <v>keep</v>
      </c>
      <c r="L355">
        <f t="shared" si="45"/>
        <v>0</v>
      </c>
      <c r="M355">
        <f t="shared" si="46"/>
        <v>0</v>
      </c>
      <c r="N355">
        <f t="shared" si="51"/>
        <v>0</v>
      </c>
      <c r="O355">
        <f t="shared" si="52"/>
        <v>1324.7758267172608</v>
      </c>
      <c r="P355">
        <f t="shared" si="53"/>
        <v>0</v>
      </c>
      <c r="Q355">
        <f>Q354+(Q354*E355/100)</f>
        <v>1462.8687659359382</v>
      </c>
    </row>
    <row r="356" spans="1:17" x14ac:dyDescent="0.25">
      <c r="A356" s="1">
        <v>45586</v>
      </c>
      <c r="B356">
        <v>0.18417422102905401</v>
      </c>
      <c r="C356">
        <v>-0.63522214886928496</v>
      </c>
      <c r="D356">
        <v>-1.22842083010074</v>
      </c>
      <c r="E356">
        <v>-0.99778753348690397</v>
      </c>
      <c r="F356" s="3">
        <v>-0.100768325620605</v>
      </c>
      <c r="G356">
        <f t="shared" si="47"/>
        <v>-0.89585229108668496</v>
      </c>
      <c r="H356" t="str">
        <f>IF(F356&gt;$T$2,"buy",IF(F356&lt;0,"sell","keep"))</f>
        <v>sell</v>
      </c>
      <c r="I356" t="str">
        <f t="shared" si="49"/>
        <v>sell</v>
      </c>
      <c r="J356">
        <f t="shared" si="48"/>
        <v>1</v>
      </c>
      <c r="K356" t="str">
        <f t="shared" si="50"/>
        <v>keep</v>
      </c>
      <c r="L356">
        <f t="shared" si="45"/>
        <v>0</v>
      </c>
      <c r="M356">
        <f t="shared" si="46"/>
        <v>0</v>
      </c>
      <c r="N356">
        <f t="shared" si="51"/>
        <v>0</v>
      </c>
      <c r="O356">
        <f t="shared" si="52"/>
        <v>1324.7758267172608</v>
      </c>
      <c r="P356">
        <f t="shared" si="53"/>
        <v>0</v>
      </c>
      <c r="Q356">
        <f>Q355+(Q355*E356/100)</f>
        <v>1448.2724437581558</v>
      </c>
    </row>
    <row r="357" spans="1:17" x14ac:dyDescent="0.25">
      <c r="A357" s="1">
        <v>45587</v>
      </c>
      <c r="B357">
        <v>0.142377899895751</v>
      </c>
      <c r="C357">
        <v>-0.29170051387425999</v>
      </c>
      <c r="D357">
        <v>1.1900878920000999</v>
      </c>
      <c r="E357">
        <v>-0.89585229108668496</v>
      </c>
      <c r="F357" s="3">
        <v>0.16852715237140001</v>
      </c>
      <c r="G357">
        <f t="shared" si="47"/>
        <v>-0.81921458436050498</v>
      </c>
      <c r="H357" t="str">
        <f>IF(F357&gt;$T$2,"buy",IF(F357&lt;0,"sell","keep"))</f>
        <v>buy</v>
      </c>
      <c r="I357" t="str">
        <f t="shared" si="49"/>
        <v>buy</v>
      </c>
      <c r="J357">
        <f t="shared" si="48"/>
        <v>0</v>
      </c>
      <c r="K357" t="str">
        <f t="shared" si="50"/>
        <v>buy</v>
      </c>
      <c r="L357">
        <f t="shared" si="45"/>
        <v>1</v>
      </c>
      <c r="M357">
        <f t="shared" si="46"/>
        <v>0</v>
      </c>
      <c r="N357">
        <f t="shared" si="51"/>
        <v>0</v>
      </c>
      <c r="O357">
        <f t="shared" si="52"/>
        <v>0</v>
      </c>
      <c r="P357">
        <f t="shared" si="53"/>
        <v>1324.7758267172608</v>
      </c>
      <c r="Q357">
        <f>Q356+(Q356*E357/100)</f>
        <v>1435.2980618895713</v>
      </c>
    </row>
    <row r="358" spans="1:17" x14ac:dyDescent="0.25">
      <c r="A358" s="1">
        <v>45588</v>
      </c>
      <c r="B358">
        <v>-1.5865261751148201</v>
      </c>
      <c r="C358">
        <v>-0.93785891358292295</v>
      </c>
      <c r="D358">
        <v>-0.46619610192657401</v>
      </c>
      <c r="E358">
        <v>-0.81921458436050498</v>
      </c>
      <c r="F358" s="3">
        <v>-0.13361712521411501</v>
      </c>
      <c r="G358">
        <f t="shared" si="47"/>
        <v>0.48419268444501701</v>
      </c>
      <c r="H358" t="str">
        <f>IF(F358&gt;$T$2,"buy",IF(F358&lt;0,"sell","keep"))</f>
        <v>sell</v>
      </c>
      <c r="I358" t="str">
        <f t="shared" si="49"/>
        <v>sell</v>
      </c>
      <c r="J358">
        <f t="shared" si="48"/>
        <v>0</v>
      </c>
      <c r="K358" t="str">
        <f t="shared" si="50"/>
        <v>sell</v>
      </c>
      <c r="L358">
        <f t="shared" si="45"/>
        <v>0</v>
      </c>
      <c r="M358">
        <f t="shared" si="46"/>
        <v>1</v>
      </c>
      <c r="N358">
        <f t="shared" si="51"/>
        <v>0</v>
      </c>
      <c r="O358">
        <f t="shared" si="52"/>
        <v>1313.9230699347106</v>
      </c>
      <c r="P358">
        <f t="shared" si="53"/>
        <v>0</v>
      </c>
      <c r="Q358">
        <f>Q357+(Q357*E358/100)</f>
        <v>1423.5398908375282</v>
      </c>
    </row>
    <row r="359" spans="1:17" x14ac:dyDescent="0.25">
      <c r="A359" s="1">
        <v>45589</v>
      </c>
      <c r="B359">
        <v>0.82677294106334698</v>
      </c>
      <c r="C359">
        <v>-0.62208993341540397</v>
      </c>
      <c r="D359">
        <v>0.94208896078653503</v>
      </c>
      <c r="E359">
        <v>0.48419268444501701</v>
      </c>
      <c r="F359" s="3">
        <v>0.122832048055696</v>
      </c>
      <c r="G359">
        <f t="shared" si="47"/>
        <v>-1.10543714962775</v>
      </c>
      <c r="H359" t="str">
        <f>IF(F359&gt;$T$2,"buy",IF(F359&lt;0,"sell","keep"))</f>
        <v>keep</v>
      </c>
      <c r="I359" t="str">
        <f t="shared" si="49"/>
        <v>sell</v>
      </c>
      <c r="J359">
        <f t="shared" si="48"/>
        <v>0</v>
      </c>
      <c r="K359" t="str">
        <f t="shared" si="50"/>
        <v>keep</v>
      </c>
      <c r="L359">
        <f t="shared" si="45"/>
        <v>0</v>
      </c>
      <c r="M359">
        <f t="shared" si="46"/>
        <v>0</v>
      </c>
      <c r="N359">
        <f t="shared" si="51"/>
        <v>0</v>
      </c>
      <c r="O359">
        <f t="shared" si="52"/>
        <v>1313.9230699347106</v>
      </c>
      <c r="P359">
        <f t="shared" si="53"/>
        <v>0</v>
      </c>
      <c r="Q359">
        <f>Q358+(Q358*E359/100)</f>
        <v>1430.4325668491201</v>
      </c>
    </row>
    <row r="360" spans="1:17" x14ac:dyDescent="0.25">
      <c r="A360" s="1">
        <v>45590</v>
      </c>
      <c r="B360">
        <v>0.58889517743068098</v>
      </c>
      <c r="C360">
        <v>-0.14752691844820401</v>
      </c>
      <c r="D360">
        <v>-0.94911093615970199</v>
      </c>
      <c r="E360">
        <v>-1.10543714962775</v>
      </c>
      <c r="F360" s="3">
        <v>-9.9755102451505699E-3</v>
      </c>
      <c r="G360">
        <f t="shared" si="47"/>
        <v>1.2611073279107099</v>
      </c>
      <c r="H360" t="str">
        <f>IF(F360&gt;$T$2,"buy",IF(F360&lt;0,"sell","keep"))</f>
        <v>sell</v>
      </c>
      <c r="I360" t="str">
        <f t="shared" si="49"/>
        <v>sell</v>
      </c>
      <c r="J360">
        <f t="shared" si="48"/>
        <v>0</v>
      </c>
      <c r="K360" t="str">
        <f t="shared" si="50"/>
        <v>keep</v>
      </c>
      <c r="L360">
        <f t="shared" si="45"/>
        <v>0</v>
      </c>
      <c r="M360">
        <f t="shared" si="46"/>
        <v>0</v>
      </c>
      <c r="N360">
        <f t="shared" si="51"/>
        <v>0</v>
      </c>
      <c r="O360">
        <f t="shared" si="52"/>
        <v>1313.9230699347106</v>
      </c>
      <c r="P360">
        <f t="shared" si="53"/>
        <v>0</v>
      </c>
      <c r="Q360">
        <f>Q359+(Q359*E360/100)</f>
        <v>1414.6200338547962</v>
      </c>
    </row>
    <row r="361" spans="1:17" x14ac:dyDescent="0.25">
      <c r="A361" s="1">
        <v>45593</v>
      </c>
      <c r="B361">
        <v>-4.6640027469679003E-3</v>
      </c>
      <c r="C361">
        <v>0.47281243380274901</v>
      </c>
      <c r="D361">
        <v>0.97416288703127096</v>
      </c>
      <c r="E361">
        <v>1.2611073279107099</v>
      </c>
      <c r="F361" s="3">
        <v>0.22750010958651301</v>
      </c>
      <c r="G361">
        <f t="shared" si="47"/>
        <v>-0.53779139704390699</v>
      </c>
      <c r="H361" t="str">
        <f>IF(F361&gt;$T$2,"buy",IF(F361&lt;0,"sell","keep"))</f>
        <v>buy</v>
      </c>
      <c r="I361" t="str">
        <f t="shared" si="49"/>
        <v>buy</v>
      </c>
      <c r="J361">
        <f t="shared" si="48"/>
        <v>0</v>
      </c>
      <c r="K361" t="str">
        <f t="shared" si="50"/>
        <v>buy</v>
      </c>
      <c r="L361">
        <f t="shared" si="45"/>
        <v>1</v>
      </c>
      <c r="M361">
        <f t="shared" si="46"/>
        <v>0</v>
      </c>
      <c r="N361">
        <f t="shared" si="51"/>
        <v>0</v>
      </c>
      <c r="O361">
        <f t="shared" si="52"/>
        <v>0</v>
      </c>
      <c r="P361">
        <f t="shared" si="53"/>
        <v>1313.9230699347106</v>
      </c>
      <c r="Q361">
        <f>Q360+(Q360*E361/100)</f>
        <v>1432.4599107638321</v>
      </c>
    </row>
    <row r="362" spans="1:17" x14ac:dyDescent="0.25">
      <c r="A362" s="1">
        <v>45594</v>
      </c>
      <c r="B362">
        <v>0.98068590526374499</v>
      </c>
      <c r="C362">
        <v>-0.28152085653352299</v>
      </c>
      <c r="D362">
        <v>-0.121233413389065</v>
      </c>
      <c r="E362">
        <v>-0.53779139704390699</v>
      </c>
      <c r="F362" s="3">
        <v>6.4625490665952606E-2</v>
      </c>
      <c r="G362">
        <f t="shared" si="47"/>
        <v>-0.85373021054881904</v>
      </c>
      <c r="H362" t="str">
        <f>IF(F362&gt;$T$2,"buy",IF(F362&lt;0,"sell","keep"))</f>
        <v>keep</v>
      </c>
      <c r="I362" t="str">
        <f t="shared" si="49"/>
        <v>sell</v>
      </c>
      <c r="J362">
        <f t="shared" si="48"/>
        <v>0</v>
      </c>
      <c r="K362" t="str">
        <f t="shared" si="50"/>
        <v>sell</v>
      </c>
      <c r="L362">
        <f t="shared" si="45"/>
        <v>0</v>
      </c>
      <c r="M362">
        <f t="shared" si="46"/>
        <v>1</v>
      </c>
      <c r="N362">
        <f t="shared" si="51"/>
        <v>0</v>
      </c>
      <c r="O362">
        <f t="shared" si="52"/>
        <v>1306.8569047008266</v>
      </c>
      <c r="P362">
        <f t="shared" si="53"/>
        <v>0</v>
      </c>
      <c r="Q362">
        <f>Q361+(Q361*E362/100)</f>
        <v>1424.7562645976413</v>
      </c>
    </row>
    <row r="363" spans="1:17" x14ac:dyDescent="0.25">
      <c r="A363" s="1">
        <v>45595</v>
      </c>
      <c r="B363">
        <v>-0.79292464607025803</v>
      </c>
      <c r="C363">
        <v>-0.26545355559469602</v>
      </c>
      <c r="D363">
        <v>6.36049297400203</v>
      </c>
      <c r="E363">
        <v>-0.85373021054881904</v>
      </c>
      <c r="F363" s="3">
        <v>0.58167297465297096</v>
      </c>
      <c r="G363">
        <f t="shared" si="47"/>
        <v>-0.91848003752127405</v>
      </c>
      <c r="H363" t="str">
        <f>IF(F363&gt;$T$2,"buy",IF(F363&lt;0,"sell","keep"))</f>
        <v>buy</v>
      </c>
      <c r="I363" t="str">
        <f t="shared" si="49"/>
        <v>buy</v>
      </c>
      <c r="J363">
        <f t="shared" si="48"/>
        <v>0</v>
      </c>
      <c r="K363" t="str">
        <f t="shared" si="50"/>
        <v>buy</v>
      </c>
      <c r="L363">
        <f t="shared" si="45"/>
        <v>1</v>
      </c>
      <c r="M363">
        <f t="shared" si="46"/>
        <v>0</v>
      </c>
      <c r="N363">
        <f t="shared" si="51"/>
        <v>0</v>
      </c>
      <c r="O363">
        <f t="shared" si="52"/>
        <v>0</v>
      </c>
      <c r="P363">
        <f t="shared" si="53"/>
        <v>1306.8569047008266</v>
      </c>
      <c r="Q363">
        <f>Q362+(Q362*E363/100)</f>
        <v>1412.5926899400845</v>
      </c>
    </row>
    <row r="364" spans="1:17" x14ac:dyDescent="0.25">
      <c r="A364" s="1">
        <v>45596</v>
      </c>
      <c r="B364">
        <v>-2.4391143480166</v>
      </c>
      <c r="C364">
        <v>-3.64385583764181</v>
      </c>
      <c r="D364">
        <v>1.1761858935591001</v>
      </c>
      <c r="E364">
        <v>-0.91848003752127405</v>
      </c>
      <c r="F364" s="3">
        <v>-0.39504835824891799</v>
      </c>
      <c r="G364">
        <f t="shared" si="47"/>
        <v>-0.69524863180299101</v>
      </c>
      <c r="H364" t="str">
        <f>IF(F364&gt;$T$2,"buy",IF(F364&lt;0,"sell","keep"))</f>
        <v>sell</v>
      </c>
      <c r="I364" t="str">
        <f t="shared" si="49"/>
        <v>sell</v>
      </c>
      <c r="J364">
        <f t="shared" si="48"/>
        <v>1</v>
      </c>
      <c r="K364" t="str">
        <f t="shared" si="50"/>
        <v>sell</v>
      </c>
      <c r="L364">
        <f t="shared" si="45"/>
        <v>0</v>
      </c>
      <c r="M364">
        <f t="shared" si="46"/>
        <v>1</v>
      </c>
      <c r="N364">
        <f t="shared" si="51"/>
        <v>1</v>
      </c>
      <c r="O364">
        <f t="shared" si="52"/>
        <v>1294.8536849121811</v>
      </c>
      <c r="P364">
        <f t="shared" si="53"/>
        <v>0</v>
      </c>
      <c r="Q364">
        <f>Q363+(Q363*E364/100)</f>
        <v>1399.6183080715</v>
      </c>
    </row>
    <row r="365" spans="1:17" x14ac:dyDescent="0.25">
      <c r="A365" s="1">
        <v>45597</v>
      </c>
      <c r="B365">
        <v>0.71753489210168997</v>
      </c>
      <c r="C365">
        <v>0.254312841519932</v>
      </c>
      <c r="D365">
        <v>-0.15696059446531599</v>
      </c>
      <c r="E365">
        <v>-0.69524863180299101</v>
      </c>
      <c r="F365" s="3">
        <v>0.11711662731663899</v>
      </c>
      <c r="G365">
        <f t="shared" si="47"/>
        <v>-0.61260019203106497</v>
      </c>
      <c r="H365" t="str">
        <f>IF(F365&gt;$T$2,"buy",IF(F365&lt;0,"sell","keep"))</f>
        <v>keep</v>
      </c>
      <c r="I365" t="str">
        <f t="shared" si="49"/>
        <v>sell</v>
      </c>
      <c r="J365">
        <f t="shared" si="48"/>
        <v>0</v>
      </c>
      <c r="K365" t="str">
        <f t="shared" si="50"/>
        <v>keep</v>
      </c>
      <c r="L365">
        <f t="shared" si="45"/>
        <v>0</v>
      </c>
      <c r="M365">
        <f t="shared" si="46"/>
        <v>0</v>
      </c>
      <c r="N365">
        <f t="shared" si="51"/>
        <v>0</v>
      </c>
      <c r="O365">
        <f t="shared" si="52"/>
        <v>1294.8536849121811</v>
      </c>
      <c r="P365">
        <f t="shared" si="53"/>
        <v>0</v>
      </c>
      <c r="Q365">
        <f>Q364+(Q364*E365/100)</f>
        <v>1389.8874809341687</v>
      </c>
    </row>
    <row r="366" spans="1:17" x14ac:dyDescent="0.25">
      <c r="A366" s="1">
        <v>45600</v>
      </c>
      <c r="B366">
        <v>-0.34712987307749998</v>
      </c>
      <c r="C366">
        <v>0.22085522670918201</v>
      </c>
      <c r="D366">
        <v>-1.5131353891485999</v>
      </c>
      <c r="E366">
        <v>-0.61260019203106497</v>
      </c>
      <c r="F366" s="3">
        <v>-1.5807788640902199E-2</v>
      </c>
      <c r="G366">
        <f t="shared" si="47"/>
        <v>0.939238106562023</v>
      </c>
      <c r="H366" t="str">
        <f>IF(F366&gt;$T$2,"buy",IF(F366&lt;0,"sell","keep"))</f>
        <v>sell</v>
      </c>
      <c r="I366" t="str">
        <f t="shared" si="49"/>
        <v>sell</v>
      </c>
      <c r="J366">
        <f t="shared" si="48"/>
        <v>0</v>
      </c>
      <c r="K366" t="str">
        <f t="shared" si="50"/>
        <v>keep</v>
      </c>
      <c r="L366">
        <f t="shared" si="45"/>
        <v>0</v>
      </c>
      <c r="M366">
        <f t="shared" si="46"/>
        <v>0</v>
      </c>
      <c r="N366">
        <f t="shared" si="51"/>
        <v>0</v>
      </c>
      <c r="O366">
        <f t="shared" si="52"/>
        <v>1294.8536849121811</v>
      </c>
      <c r="P366">
        <f t="shared" si="53"/>
        <v>0</v>
      </c>
      <c r="Q366">
        <f>Q365+(Q365*E366/100)</f>
        <v>1381.3730275569503</v>
      </c>
    </row>
    <row r="367" spans="1:17" x14ac:dyDescent="0.25">
      <c r="A367" s="1">
        <v>45601</v>
      </c>
      <c r="B367">
        <v>1.3217121826120499</v>
      </c>
      <c r="C367">
        <v>-0.748381197962244</v>
      </c>
      <c r="D367">
        <v>0.60357390844183401</v>
      </c>
      <c r="E367">
        <v>0.939238106562023</v>
      </c>
      <c r="F367" s="3">
        <v>4.6424036880346298E-2</v>
      </c>
      <c r="G367">
        <f t="shared" si="47"/>
        <v>0.203546914244912</v>
      </c>
      <c r="H367" t="str">
        <f>IF(F367&gt;$T$2,"buy",IF(F367&lt;0,"sell","keep"))</f>
        <v>keep</v>
      </c>
      <c r="I367" t="str">
        <f t="shared" si="49"/>
        <v>sell</v>
      </c>
      <c r="J367">
        <f t="shared" si="48"/>
        <v>1</v>
      </c>
      <c r="K367" t="str">
        <f t="shared" si="50"/>
        <v>keep</v>
      </c>
      <c r="L367">
        <f t="shared" si="45"/>
        <v>0</v>
      </c>
      <c r="M367">
        <f t="shared" si="46"/>
        <v>0</v>
      </c>
      <c r="N367">
        <f t="shared" si="51"/>
        <v>0</v>
      </c>
      <c r="O367">
        <f t="shared" si="52"/>
        <v>1294.8536849121811</v>
      </c>
      <c r="P367">
        <f t="shared" si="53"/>
        <v>0</v>
      </c>
      <c r="Q367">
        <f>Q366+(Q366*E367/100)</f>
        <v>1394.3474094255348</v>
      </c>
    </row>
    <row r="368" spans="1:17" x14ac:dyDescent="0.25">
      <c r="A368" s="1">
        <v>45602</v>
      </c>
      <c r="B368">
        <v>2.7382039808969401</v>
      </c>
      <c r="C368">
        <v>1.7015106330263701</v>
      </c>
      <c r="D368">
        <v>-0.237993544945069</v>
      </c>
      <c r="E368">
        <v>0.203546914244912</v>
      </c>
      <c r="F368" s="3">
        <v>0.36542688532736201</v>
      </c>
      <c r="G368">
        <f t="shared" si="47"/>
        <v>-0.95762408744184402</v>
      </c>
      <c r="H368" t="str">
        <f>IF(F368&gt;$T$2,"buy",IF(F368&lt;0,"sell","keep"))</f>
        <v>buy</v>
      </c>
      <c r="I368" t="str">
        <f t="shared" si="49"/>
        <v>buy</v>
      </c>
      <c r="J368">
        <f t="shared" si="48"/>
        <v>0</v>
      </c>
      <c r="K368" t="str">
        <f t="shared" si="50"/>
        <v>buy</v>
      </c>
      <c r="L368">
        <f t="shared" si="45"/>
        <v>1</v>
      </c>
      <c r="M368">
        <f t="shared" si="46"/>
        <v>0</v>
      </c>
      <c r="N368">
        <f t="shared" si="51"/>
        <v>0</v>
      </c>
      <c r="O368">
        <f t="shared" si="52"/>
        <v>0</v>
      </c>
      <c r="P368">
        <f t="shared" si="53"/>
        <v>1294.8536849121811</v>
      </c>
      <c r="Q368">
        <f>Q367+(Q367*E368/100)</f>
        <v>1397.1855605512744</v>
      </c>
    </row>
    <row r="369" spans="1:17" x14ac:dyDescent="0.25">
      <c r="A369" s="1">
        <v>45603</v>
      </c>
      <c r="B369">
        <v>1.5409997010349801</v>
      </c>
      <c r="C369">
        <v>0.61387446412721702</v>
      </c>
      <c r="D369">
        <v>-0.34295511873075801</v>
      </c>
      <c r="E369">
        <v>-0.95762408744184402</v>
      </c>
      <c r="F369" s="3">
        <v>0.162061713837127</v>
      </c>
      <c r="G369">
        <f t="shared" si="47"/>
        <v>-0.79109374267740595</v>
      </c>
      <c r="H369" t="str">
        <f>IF(F369&gt;$T$2,"buy",IF(F369&lt;0,"sell","keep"))</f>
        <v>buy</v>
      </c>
      <c r="I369" t="str">
        <f t="shared" si="49"/>
        <v>buy</v>
      </c>
      <c r="J369">
        <f t="shared" si="48"/>
        <v>0</v>
      </c>
      <c r="K369" t="str">
        <f t="shared" si="50"/>
        <v>keep</v>
      </c>
      <c r="L369">
        <f t="shared" si="45"/>
        <v>0</v>
      </c>
      <c r="M369">
        <f t="shared" si="46"/>
        <v>0</v>
      </c>
      <c r="N369">
        <f t="shared" si="51"/>
        <v>0</v>
      </c>
      <c r="O369">
        <f t="shared" si="52"/>
        <v>0</v>
      </c>
      <c r="P369">
        <f t="shared" si="53"/>
        <v>1297.4893196318064</v>
      </c>
      <c r="Q369">
        <f>Q368+(Q368*E369/100)</f>
        <v>1383.8057750771761</v>
      </c>
    </row>
    <row r="370" spans="1:17" x14ac:dyDescent="0.25">
      <c r="A370" s="1">
        <v>45604</v>
      </c>
      <c r="B370">
        <v>7.3972575352621001E-2</v>
      </c>
      <c r="C370">
        <v>-1.2868586858745801</v>
      </c>
      <c r="D370">
        <v>-0.50371030226666802</v>
      </c>
      <c r="E370">
        <v>-0.79109374267740595</v>
      </c>
      <c r="F370" s="3">
        <v>-0.13492527132236501</v>
      </c>
      <c r="G370">
        <f t="shared" si="47"/>
        <v>1.0041348965183801</v>
      </c>
      <c r="H370" t="str">
        <f>IF(F370&gt;$T$2,"buy",IF(F370&lt;0,"sell","keep"))</f>
        <v>sell</v>
      </c>
      <c r="I370" t="str">
        <f t="shared" si="49"/>
        <v>sell</v>
      </c>
      <c r="J370">
        <f t="shared" si="48"/>
        <v>0</v>
      </c>
      <c r="K370" t="str">
        <f t="shared" si="50"/>
        <v>sell</v>
      </c>
      <c r="L370">
        <f t="shared" si="45"/>
        <v>0</v>
      </c>
      <c r="M370">
        <f t="shared" si="46"/>
        <v>1</v>
      </c>
      <c r="N370">
        <f t="shared" si="51"/>
        <v>0</v>
      </c>
      <c r="O370">
        <f t="shared" si="52"/>
        <v>1287.2249628122916</v>
      </c>
      <c r="P370">
        <f t="shared" si="53"/>
        <v>0</v>
      </c>
      <c r="Q370">
        <f>Q369+(Q369*E370/100)</f>
        <v>1372.8585741797319</v>
      </c>
    </row>
    <row r="371" spans="1:17" x14ac:dyDescent="0.25">
      <c r="A371" s="1">
        <v>45607</v>
      </c>
      <c r="B371">
        <v>-5.0148002274508198E-2</v>
      </c>
      <c r="C371">
        <v>-0.66163077578295004</v>
      </c>
      <c r="D371">
        <v>-12.566411565501101</v>
      </c>
      <c r="E371">
        <v>1.0041348965183801</v>
      </c>
      <c r="F371" s="3">
        <v>-0.88075316380769897</v>
      </c>
      <c r="G371">
        <f t="shared" si="47"/>
        <v>-2.9239782918000499</v>
      </c>
      <c r="H371" t="str">
        <f>IF(F371&gt;$T$2,"buy",IF(F371&lt;0,"sell","keep"))</f>
        <v>sell</v>
      </c>
      <c r="I371" t="str">
        <f t="shared" si="49"/>
        <v>sell</v>
      </c>
      <c r="J371">
        <f t="shared" si="48"/>
        <v>1</v>
      </c>
      <c r="K371" t="str">
        <f t="shared" si="50"/>
        <v>keep</v>
      </c>
      <c r="L371">
        <f t="shared" si="45"/>
        <v>0</v>
      </c>
      <c r="M371">
        <f t="shared" si="46"/>
        <v>0</v>
      </c>
      <c r="N371">
        <f t="shared" si="51"/>
        <v>0</v>
      </c>
      <c r="O371">
        <f t="shared" si="52"/>
        <v>1287.2249628122916</v>
      </c>
      <c r="P371">
        <f t="shared" si="53"/>
        <v>0</v>
      </c>
      <c r="Q371">
        <f>Q370+(Q370*E371/100)</f>
        <v>1386.6439262029153</v>
      </c>
    </row>
    <row r="372" spans="1:17" x14ac:dyDescent="0.25">
      <c r="A372" s="1">
        <v>45608</v>
      </c>
      <c r="B372">
        <v>-0.16961897452420999</v>
      </c>
      <c r="C372">
        <v>-0.18622624476952701</v>
      </c>
      <c r="D372">
        <v>-1.91480724521364</v>
      </c>
      <c r="E372">
        <v>-2.9239782918000499</v>
      </c>
      <c r="F372" s="3">
        <v>-0.160198910650973</v>
      </c>
      <c r="G372">
        <f t="shared" si="47"/>
        <v>0.30119955073966098</v>
      </c>
      <c r="H372" t="str">
        <f>IF(F372&gt;$T$2,"buy",IF(F372&lt;0,"sell","keep"))</f>
        <v>sell</v>
      </c>
      <c r="I372" t="str">
        <f t="shared" si="49"/>
        <v>sell</v>
      </c>
      <c r="J372">
        <f t="shared" si="48"/>
        <v>0</v>
      </c>
      <c r="K372" t="str">
        <f t="shared" si="50"/>
        <v>keep</v>
      </c>
      <c r="L372">
        <f t="shared" si="45"/>
        <v>0</v>
      </c>
      <c r="M372">
        <f t="shared" si="46"/>
        <v>0</v>
      </c>
      <c r="N372">
        <f t="shared" si="51"/>
        <v>0</v>
      </c>
      <c r="O372">
        <f t="shared" si="52"/>
        <v>1287.2249628122916</v>
      </c>
      <c r="P372">
        <f t="shared" si="53"/>
        <v>0</v>
      </c>
      <c r="Q372">
        <f>Q371+(Q371*E372/100)</f>
        <v>1346.0987588161781</v>
      </c>
    </row>
    <row r="373" spans="1:17" x14ac:dyDescent="0.25">
      <c r="A373" s="1">
        <v>45609</v>
      </c>
      <c r="B373">
        <v>-0.164345559851997</v>
      </c>
      <c r="C373">
        <v>0.14268121106211201</v>
      </c>
      <c r="D373">
        <v>-0.43250963616358001</v>
      </c>
      <c r="E373">
        <v>0.30119955073966098</v>
      </c>
      <c r="F373" s="3">
        <v>3.5787044782999697E-2</v>
      </c>
      <c r="G373">
        <f t="shared" si="47"/>
        <v>1.0210213182039101</v>
      </c>
      <c r="H373" t="str">
        <f>IF(F373&gt;$T$2,"buy",IF(F373&lt;0,"sell","keep"))</f>
        <v>keep</v>
      </c>
      <c r="I373" t="str">
        <f t="shared" si="49"/>
        <v>sell</v>
      </c>
      <c r="J373">
        <f t="shared" si="48"/>
        <v>1</v>
      </c>
      <c r="K373" t="str">
        <f t="shared" si="50"/>
        <v>keep</v>
      </c>
      <c r="L373">
        <f t="shared" si="45"/>
        <v>0</v>
      </c>
      <c r="M373">
        <f t="shared" si="46"/>
        <v>0</v>
      </c>
      <c r="N373">
        <f t="shared" si="51"/>
        <v>0</v>
      </c>
      <c r="O373">
        <f t="shared" si="52"/>
        <v>1287.2249628122916</v>
      </c>
      <c r="P373">
        <f t="shared" si="53"/>
        <v>0</v>
      </c>
      <c r="Q373">
        <f>Q372+(Q372*E373/100)</f>
        <v>1350.1532022302447</v>
      </c>
    </row>
    <row r="374" spans="1:17" x14ac:dyDescent="0.25">
      <c r="A374" s="1">
        <v>45610</v>
      </c>
      <c r="B374">
        <v>-0.66309741577792403</v>
      </c>
      <c r="C374">
        <v>-0.60276714780333995</v>
      </c>
      <c r="D374">
        <v>-0.42266964912504001</v>
      </c>
      <c r="E374">
        <v>1.0210213182039101</v>
      </c>
      <c r="F374" s="3">
        <v>-6.1498073745438697E-2</v>
      </c>
      <c r="G374">
        <f t="shared" si="47"/>
        <v>0.71343588807470903</v>
      </c>
      <c r="H374" t="str">
        <f>IF(F374&gt;$T$2,"buy",IF(F374&lt;0,"sell","keep"))</f>
        <v>sell</v>
      </c>
      <c r="I374" t="str">
        <f t="shared" si="49"/>
        <v>sell</v>
      </c>
      <c r="J374">
        <f t="shared" si="48"/>
        <v>0</v>
      </c>
      <c r="K374" t="str">
        <f t="shared" si="50"/>
        <v>keep</v>
      </c>
      <c r="L374">
        <f t="shared" si="45"/>
        <v>0</v>
      </c>
      <c r="M374">
        <f t="shared" si="46"/>
        <v>0</v>
      </c>
      <c r="N374">
        <f t="shared" si="51"/>
        <v>0</v>
      </c>
      <c r="O374">
        <f t="shared" si="52"/>
        <v>1287.2249628122916</v>
      </c>
      <c r="P374">
        <f t="shared" si="53"/>
        <v>0</v>
      </c>
      <c r="Q374">
        <f>Q373+(Q373*E374/100)</f>
        <v>1363.9385542534283</v>
      </c>
    </row>
    <row r="375" spans="1:17" x14ac:dyDescent="0.25">
      <c r="A375" s="1">
        <v>45611</v>
      </c>
      <c r="B375">
        <v>-2.4048763002852001</v>
      </c>
      <c r="C375">
        <v>-0.96803352972788503</v>
      </c>
      <c r="D375">
        <v>-2.7353599242010902</v>
      </c>
      <c r="E375">
        <v>0.71343588807470903</v>
      </c>
      <c r="F375" s="3">
        <v>-0.37643762322143998</v>
      </c>
      <c r="G375">
        <f t="shared" si="47"/>
        <v>1.0920914440203999</v>
      </c>
      <c r="H375" t="str">
        <f>IF(F375&gt;$T$2,"buy",IF(F375&lt;0,"sell","keep"))</f>
        <v>sell</v>
      </c>
      <c r="I375" t="str">
        <f t="shared" si="49"/>
        <v>sell</v>
      </c>
      <c r="J375">
        <f t="shared" si="48"/>
        <v>0</v>
      </c>
      <c r="K375" t="str">
        <f t="shared" si="50"/>
        <v>keep</v>
      </c>
      <c r="L375">
        <f t="shared" si="45"/>
        <v>0</v>
      </c>
      <c r="M375">
        <f t="shared" si="46"/>
        <v>0</v>
      </c>
      <c r="N375">
        <f t="shared" si="51"/>
        <v>0</v>
      </c>
      <c r="O375">
        <f t="shared" si="52"/>
        <v>1287.2249628122916</v>
      </c>
      <c r="P375">
        <f t="shared" si="53"/>
        <v>0</v>
      </c>
      <c r="Q375">
        <f>Q374+(Q374*E375/100)</f>
        <v>1373.6693813907596</v>
      </c>
    </row>
    <row r="376" spans="1:17" x14ac:dyDescent="0.25">
      <c r="A376" s="1">
        <v>45614</v>
      </c>
      <c r="B376">
        <v>0.71127617425930101</v>
      </c>
      <c r="C376">
        <v>-0.118017366270983</v>
      </c>
      <c r="D376">
        <v>0.78185311886855802</v>
      </c>
      <c r="E376">
        <v>1.0920914440203999</v>
      </c>
      <c r="F376" s="3">
        <v>0.148745174213672</v>
      </c>
      <c r="G376">
        <f t="shared" si="47"/>
        <v>-0.61313678474561595</v>
      </c>
      <c r="H376" t="str">
        <f>IF(F376&gt;$T$2,"buy",IF(F376&lt;0,"sell","keep"))</f>
        <v>keep</v>
      </c>
      <c r="I376" t="str">
        <f t="shared" si="49"/>
        <v>sell</v>
      </c>
      <c r="J376">
        <f t="shared" si="48"/>
        <v>0</v>
      </c>
      <c r="K376" t="str">
        <f t="shared" si="50"/>
        <v>keep</v>
      </c>
      <c r="L376">
        <f t="shared" si="45"/>
        <v>0</v>
      </c>
      <c r="M376">
        <f t="shared" si="46"/>
        <v>0</v>
      </c>
      <c r="N376">
        <f t="shared" si="51"/>
        <v>0</v>
      </c>
      <c r="O376">
        <f t="shared" si="52"/>
        <v>1287.2249628122916</v>
      </c>
      <c r="P376">
        <f t="shared" si="53"/>
        <v>0</v>
      </c>
      <c r="Q376">
        <f>Q375+(Q375*E376/100)</f>
        <v>1388.671107174056</v>
      </c>
    </row>
    <row r="377" spans="1:17" x14ac:dyDescent="0.25">
      <c r="A377" s="1">
        <v>45615</v>
      </c>
      <c r="B377">
        <v>0.707916887162651</v>
      </c>
      <c r="C377">
        <v>-1.0054221424412999</v>
      </c>
      <c r="D377">
        <v>0.17442583512867699</v>
      </c>
      <c r="E377">
        <v>-0.61313678474561595</v>
      </c>
      <c r="F377" s="3">
        <v>-2.11798807127648E-2</v>
      </c>
      <c r="G377">
        <f t="shared" si="47"/>
        <v>-2.9385544602456001E-2</v>
      </c>
      <c r="H377" t="str">
        <f>IF(F377&gt;$T$2,"buy",IF(F377&lt;0,"sell","keep"))</f>
        <v>sell</v>
      </c>
      <c r="I377" t="str">
        <f t="shared" si="49"/>
        <v>sell</v>
      </c>
      <c r="J377">
        <f t="shared" si="48"/>
        <v>1</v>
      </c>
      <c r="K377" t="str">
        <f t="shared" si="50"/>
        <v>keep</v>
      </c>
      <c r="L377">
        <f t="shared" si="45"/>
        <v>0</v>
      </c>
      <c r="M377">
        <f t="shared" si="46"/>
        <v>0</v>
      </c>
      <c r="N377">
        <f t="shared" si="51"/>
        <v>0</v>
      </c>
      <c r="O377">
        <f t="shared" si="52"/>
        <v>1287.2249628122916</v>
      </c>
      <c r="P377">
        <f t="shared" si="53"/>
        <v>0</v>
      </c>
      <c r="Q377">
        <f>Q376+(Q376*E377/100)</f>
        <v>1380.1566537968376</v>
      </c>
    </row>
    <row r="378" spans="1:17" x14ac:dyDescent="0.25">
      <c r="A378" s="1">
        <v>45616</v>
      </c>
      <c r="B378">
        <v>-8.45568343734171E-2</v>
      </c>
      <c r="C378">
        <v>1.36919110775035</v>
      </c>
      <c r="D378">
        <v>0.71438906827700999</v>
      </c>
      <c r="E378">
        <v>-2.9385544602456001E-2</v>
      </c>
      <c r="F378" s="3">
        <v>0.30958833265021102</v>
      </c>
      <c r="G378">
        <f t="shared" si="47"/>
        <v>0.49957119214252199</v>
      </c>
      <c r="H378" t="str">
        <f>IF(F378&gt;$T$2,"buy",IF(F378&lt;0,"sell","keep"))</f>
        <v>buy</v>
      </c>
      <c r="I378" t="str">
        <f t="shared" si="49"/>
        <v>buy</v>
      </c>
      <c r="J378">
        <f t="shared" si="48"/>
        <v>1</v>
      </c>
      <c r="K378" t="str">
        <f t="shared" si="50"/>
        <v>buy</v>
      </c>
      <c r="L378">
        <f t="shared" si="45"/>
        <v>1</v>
      </c>
      <c r="M378">
        <f t="shared" si="46"/>
        <v>0</v>
      </c>
      <c r="N378">
        <f t="shared" si="51"/>
        <v>1</v>
      </c>
      <c r="O378">
        <f t="shared" si="52"/>
        <v>0</v>
      </c>
      <c r="P378">
        <f t="shared" si="53"/>
        <v>1287.2249628122916</v>
      </c>
      <c r="Q378">
        <f>Q377+(Q377*E378/100)</f>
        <v>1379.7510872477524</v>
      </c>
    </row>
    <row r="379" spans="1:17" x14ac:dyDescent="0.25">
      <c r="A379" s="1">
        <v>45617</v>
      </c>
      <c r="B379">
        <v>0.35650714852402099</v>
      </c>
      <c r="C379">
        <v>1.09520835919156</v>
      </c>
      <c r="D379">
        <v>2.3664808487681999</v>
      </c>
      <c r="E379">
        <v>0.49957119214252199</v>
      </c>
      <c r="F379" s="3">
        <v>0.44080393371382298</v>
      </c>
      <c r="G379">
        <f t="shared" si="47"/>
        <v>-0.350882800444274</v>
      </c>
      <c r="H379" t="str">
        <f>IF(F379&gt;$T$2,"buy",IF(F379&lt;0,"sell","keep"))</f>
        <v>buy</v>
      </c>
      <c r="I379" t="str">
        <f t="shared" si="49"/>
        <v>buy</v>
      </c>
      <c r="J379">
        <f t="shared" si="48"/>
        <v>0</v>
      </c>
      <c r="K379" t="str">
        <f t="shared" si="50"/>
        <v>keep</v>
      </c>
      <c r="L379">
        <f t="shared" si="45"/>
        <v>0</v>
      </c>
      <c r="M379">
        <f t="shared" si="46"/>
        <v>0</v>
      </c>
      <c r="N379">
        <f t="shared" si="51"/>
        <v>0</v>
      </c>
      <c r="O379">
        <f t="shared" si="52"/>
        <v>0</v>
      </c>
      <c r="P379">
        <f t="shared" si="53"/>
        <v>1286.8467047467104</v>
      </c>
      <c r="Q379">
        <f>Q378+(Q378*E379/100)</f>
        <v>1386.6439262029153</v>
      </c>
    </row>
    <row r="380" spans="1:17" x14ac:dyDescent="0.25">
      <c r="A380" s="1">
        <v>45618</v>
      </c>
      <c r="B380">
        <v>0.17092497522666</v>
      </c>
      <c r="C380">
        <v>-6.3732503726876499E-2</v>
      </c>
      <c r="D380">
        <v>3.0396634912871701</v>
      </c>
      <c r="E380">
        <v>-0.350882800444274</v>
      </c>
      <c r="F380" s="3">
        <v>0.35242774707020202</v>
      </c>
      <c r="G380">
        <f t="shared" si="47"/>
        <v>-2.9339262820360298E-2</v>
      </c>
      <c r="H380" t="str">
        <f>IF(F380&gt;$T$2,"buy",IF(F380&lt;0,"sell","keep"))</f>
        <v>buy</v>
      </c>
      <c r="I380" t="str">
        <f t="shared" si="49"/>
        <v>buy</v>
      </c>
      <c r="J380">
        <f t="shared" si="48"/>
        <v>0</v>
      </c>
      <c r="K380" t="str">
        <f t="shared" si="50"/>
        <v>keep</v>
      </c>
      <c r="L380">
        <f t="shared" si="45"/>
        <v>0</v>
      </c>
      <c r="M380">
        <f t="shared" si="46"/>
        <v>0</v>
      </c>
      <c r="N380">
        <f t="shared" si="51"/>
        <v>0</v>
      </c>
      <c r="O380">
        <f t="shared" si="52"/>
        <v>0</v>
      </c>
      <c r="P380">
        <f t="shared" si="53"/>
        <v>1293.2754201706603</v>
      </c>
      <c r="Q380">
        <f>Q379+(Q379*E380/100)</f>
        <v>1381.7784311624641</v>
      </c>
    </row>
    <row r="381" spans="1:17" x14ac:dyDescent="0.25">
      <c r="A381" s="1">
        <v>45621</v>
      </c>
      <c r="B381">
        <v>0.137946853704318</v>
      </c>
      <c r="C381">
        <v>0.20009856904352699</v>
      </c>
      <c r="D381">
        <v>6.2148122691252299E-2</v>
      </c>
      <c r="E381">
        <v>-2.9339262820360298E-2</v>
      </c>
      <c r="F381" s="3">
        <v>0.10504259575698099</v>
      </c>
      <c r="G381">
        <f t="shared" si="47"/>
        <v>-1.2034102511838201</v>
      </c>
      <c r="H381" t="str">
        <f>IF(F381&gt;$T$2,"buy",IF(F381&lt;0,"sell","keep"))</f>
        <v>keep</v>
      </c>
      <c r="I381" t="str">
        <f t="shared" si="49"/>
        <v>sell</v>
      </c>
      <c r="J381">
        <f t="shared" si="48"/>
        <v>0</v>
      </c>
      <c r="K381" t="str">
        <f t="shared" si="50"/>
        <v>sell</v>
      </c>
      <c r="L381">
        <f t="shared" si="45"/>
        <v>0</v>
      </c>
      <c r="M381">
        <f t="shared" si="46"/>
        <v>1</v>
      </c>
      <c r="N381">
        <f t="shared" si="51"/>
        <v>0</v>
      </c>
      <c r="O381">
        <f t="shared" si="52"/>
        <v>1292.8959826961452</v>
      </c>
      <c r="P381">
        <f t="shared" si="53"/>
        <v>0</v>
      </c>
      <c r="Q381">
        <f>Q380+(Q380*E381/100)</f>
        <v>1381.3730275569503</v>
      </c>
    </row>
    <row r="382" spans="1:17" x14ac:dyDescent="0.25">
      <c r="A382" s="1">
        <v>45622</v>
      </c>
      <c r="B382">
        <v>0.56722127384412002</v>
      </c>
      <c r="C382">
        <v>0.19971258978335099</v>
      </c>
      <c r="D382">
        <v>2.3043190393919</v>
      </c>
      <c r="E382">
        <v>-1.2034102511838201</v>
      </c>
      <c r="F382" s="3">
        <v>0.31253809633560797</v>
      </c>
      <c r="G382">
        <f t="shared" si="47"/>
        <v>-4.3077832495611803</v>
      </c>
      <c r="H382" t="str">
        <f>IF(F382&gt;$T$2,"buy",IF(F382&lt;0,"sell","keep"))</f>
        <v>buy</v>
      </c>
      <c r="I382" t="str">
        <f t="shared" si="49"/>
        <v>buy</v>
      </c>
      <c r="J382">
        <f t="shared" si="48"/>
        <v>0</v>
      </c>
      <c r="K382" t="str">
        <f t="shared" si="50"/>
        <v>buy</v>
      </c>
      <c r="L382">
        <f t="shared" si="45"/>
        <v>1</v>
      </c>
      <c r="M382">
        <f t="shared" si="46"/>
        <v>0</v>
      </c>
      <c r="N382">
        <f t="shared" si="51"/>
        <v>0</v>
      </c>
      <c r="O382">
        <f t="shared" si="52"/>
        <v>0</v>
      </c>
      <c r="P382">
        <f t="shared" si="53"/>
        <v>1292.8959826961452</v>
      </c>
      <c r="Q382">
        <f>Q381+(Q381*E382/100)</f>
        <v>1364.7494429362416</v>
      </c>
    </row>
    <row r="383" spans="1:17" x14ac:dyDescent="0.25">
      <c r="A383" s="1">
        <v>45623</v>
      </c>
      <c r="B383">
        <v>-0.85270279415917605</v>
      </c>
      <c r="C383">
        <v>0.113877518990634</v>
      </c>
      <c r="D383">
        <v>1.07099470487577</v>
      </c>
      <c r="E383">
        <v>-4.3077832495611803</v>
      </c>
      <c r="F383" s="3">
        <v>0.15178284997047201</v>
      </c>
      <c r="G383">
        <f t="shared" si="47"/>
        <v>-1.33413693460762</v>
      </c>
      <c r="H383" t="str">
        <f>IF(F383&gt;$T$2,"buy",IF(F383&lt;0,"sell","keep"))</f>
        <v>buy</v>
      </c>
      <c r="I383" t="str">
        <f t="shared" si="49"/>
        <v>buy</v>
      </c>
      <c r="J383">
        <f t="shared" si="48"/>
        <v>0</v>
      </c>
      <c r="K383" t="str">
        <f t="shared" si="50"/>
        <v>keep</v>
      </c>
      <c r="L383">
        <f t="shared" si="45"/>
        <v>0</v>
      </c>
      <c r="M383">
        <f t="shared" si="46"/>
        <v>0</v>
      </c>
      <c r="N383">
        <f t="shared" si="51"/>
        <v>0</v>
      </c>
      <c r="O383">
        <f t="shared" si="52"/>
        <v>0</v>
      </c>
      <c r="P383">
        <f t="shared" si="53"/>
        <v>1277.337139903236</v>
      </c>
      <c r="Q383">
        <f>Q382+(Q382*E383/100)</f>
        <v>1305.9589950349548</v>
      </c>
    </row>
    <row r="384" spans="1:17" x14ac:dyDescent="0.25">
      <c r="A384" s="1">
        <v>45628</v>
      </c>
      <c r="B384">
        <v>1.119093825705</v>
      </c>
      <c r="C384">
        <v>-0.28199279755509699</v>
      </c>
      <c r="D384">
        <v>-0.63411244012934098</v>
      </c>
      <c r="E384">
        <v>-1.33413693460762</v>
      </c>
      <c r="F384" s="3">
        <v>-1.8864234576152002E-2</v>
      </c>
      <c r="G384">
        <f t="shared" si="47"/>
        <v>-0.76828719905021003</v>
      </c>
      <c r="H384" t="str">
        <f>IF(F384&gt;$T$2,"buy",IF(F384&lt;0,"sell","keep"))</f>
        <v>sell</v>
      </c>
      <c r="I384" t="str">
        <f t="shared" si="49"/>
        <v>sell</v>
      </c>
      <c r="J384">
        <f t="shared" si="48"/>
        <v>1</v>
      </c>
      <c r="K384" t="str">
        <f t="shared" si="50"/>
        <v>sell</v>
      </c>
      <c r="L384">
        <f t="shared" ref="L384:L447" si="54">IF(K384="buy",1,0)</f>
        <v>0</v>
      </c>
      <c r="M384">
        <f t="shared" ref="M384:M447" si="55">IF(K384="sell",1,0)</f>
        <v>1</v>
      </c>
      <c r="N384">
        <f t="shared" si="51"/>
        <v>1</v>
      </c>
      <c r="O384">
        <f t="shared" si="52"/>
        <v>1260.2957133403263</v>
      </c>
      <c r="P384">
        <f t="shared" si="53"/>
        <v>0</v>
      </c>
      <c r="Q384">
        <f>Q383+(Q383*E384/100)</f>
        <v>1288.5357137313629</v>
      </c>
    </row>
    <row r="385" spans="1:17" x14ac:dyDescent="0.25">
      <c r="A385" s="1">
        <v>45629</v>
      </c>
      <c r="B385">
        <v>0.305796964362747</v>
      </c>
      <c r="C385">
        <v>-3.92764230111253E-2</v>
      </c>
      <c r="D385">
        <v>-0.14854412568894301</v>
      </c>
      <c r="E385">
        <v>-0.76828719905021003</v>
      </c>
      <c r="F385" s="3">
        <v>3.8605746759478199E-2</v>
      </c>
      <c r="G385">
        <f t="shared" si="47"/>
        <v>1.6723525254429299</v>
      </c>
      <c r="H385" t="str">
        <f>IF(F385&gt;$T$2,"buy",IF(F385&lt;0,"sell","keep"))</f>
        <v>keep</v>
      </c>
      <c r="I385" t="str">
        <f t="shared" si="49"/>
        <v>sell</v>
      </c>
      <c r="J385">
        <f t="shared" si="48"/>
        <v>1</v>
      </c>
      <c r="K385" t="str">
        <f t="shared" si="50"/>
        <v>keep</v>
      </c>
      <c r="L385">
        <f t="shared" si="54"/>
        <v>0</v>
      </c>
      <c r="M385">
        <f t="shared" si="55"/>
        <v>0</v>
      </c>
      <c r="N385">
        <f t="shared" si="51"/>
        <v>0</v>
      </c>
      <c r="O385">
        <f t="shared" si="52"/>
        <v>1260.2957133403263</v>
      </c>
      <c r="P385">
        <f t="shared" si="53"/>
        <v>0</v>
      </c>
      <c r="Q385">
        <f>Q384+(Q384*E385/100)</f>
        <v>1278.6360587875745</v>
      </c>
    </row>
    <row r="386" spans="1:17" x14ac:dyDescent="0.25">
      <c r="A386" s="1">
        <v>45630</v>
      </c>
      <c r="B386">
        <v>1.23903666546083</v>
      </c>
      <c r="C386">
        <v>0.290320903739682</v>
      </c>
      <c r="D386">
        <v>-2.7768580398809002</v>
      </c>
      <c r="E386">
        <v>1.6723525254429299</v>
      </c>
      <c r="F386" s="3">
        <v>-0.107897818754705</v>
      </c>
      <c r="G386">
        <f t="shared" ref="G386:G449" si="56">E387</f>
        <v>2.4977145495667301</v>
      </c>
      <c r="H386" t="str">
        <f>IF(F386&gt;$T$2,"buy",IF(F386&lt;0,"sell","keep"))</f>
        <v>sell</v>
      </c>
      <c r="I386" t="str">
        <f t="shared" si="49"/>
        <v>sell</v>
      </c>
      <c r="J386">
        <f t="shared" ref="J386:J449" si="57">IF(OR(AND(F386&lt;0,G386&lt;0),AND(F386&gt;0,G386&gt;0)),1,0)</f>
        <v>0</v>
      </c>
      <c r="K386" t="str">
        <f t="shared" si="50"/>
        <v>keep</v>
      </c>
      <c r="L386">
        <f t="shared" si="54"/>
        <v>0</v>
      </c>
      <c r="M386">
        <f t="shared" si="55"/>
        <v>0</v>
      </c>
      <c r="N386">
        <f t="shared" si="51"/>
        <v>0</v>
      </c>
      <c r="O386">
        <f t="shared" si="52"/>
        <v>1260.2957133403263</v>
      </c>
      <c r="P386">
        <f t="shared" si="53"/>
        <v>0</v>
      </c>
      <c r="Q386">
        <f>Q385+(Q385*E386/100)</f>
        <v>1300.0193612079324</v>
      </c>
    </row>
    <row r="387" spans="1:17" x14ac:dyDescent="0.25">
      <c r="A387" s="1">
        <v>45631</v>
      </c>
      <c r="B387">
        <v>-0.31238390678082201</v>
      </c>
      <c r="C387">
        <v>-2.3658733592397998</v>
      </c>
      <c r="D387">
        <v>-0.16435414899951201</v>
      </c>
      <c r="E387">
        <v>2.4977145495667301</v>
      </c>
      <c r="F387" s="3">
        <v>-0.25618703343849297</v>
      </c>
      <c r="G387">
        <f t="shared" si="56"/>
        <v>1.0401155699890601</v>
      </c>
      <c r="H387" t="str">
        <f>IF(F387&gt;$T$2,"buy",IF(F387&lt;0,"sell","keep"))</f>
        <v>sell</v>
      </c>
      <c r="I387" t="str">
        <f t="shared" ref="I387:I450" si="58">IF(F387&gt;$T$2,"buy",IF(F387&lt;$T$3,"sell","keep"))</f>
        <v>sell</v>
      </c>
      <c r="J387">
        <f t="shared" si="57"/>
        <v>0</v>
      </c>
      <c r="K387" t="str">
        <f t="shared" ref="K387:K450" si="59">IF(AND(I387="sell",P386&lt;&gt;0),"sell",IF(AND(I387="buy",O386&lt;&gt;0),"buy","keep"))</f>
        <v>keep</v>
      </c>
      <c r="L387">
        <f t="shared" si="54"/>
        <v>0</v>
      </c>
      <c r="M387">
        <f t="shared" si="55"/>
        <v>0</v>
      </c>
      <c r="N387">
        <f t="shared" ref="N387:N450" si="60">IF(AND(J387=1,OR(L387=1,M387=1)),1,0)</f>
        <v>0</v>
      </c>
      <c r="O387">
        <f t="shared" si="52"/>
        <v>1260.2957133403263</v>
      </c>
      <c r="P387">
        <f t="shared" si="53"/>
        <v>0</v>
      </c>
      <c r="Q387">
        <f>Q386+(Q386*E387/100)</f>
        <v>1332.4901339400074</v>
      </c>
    </row>
    <row r="388" spans="1:17" x14ac:dyDescent="0.25">
      <c r="A388" s="1">
        <v>45632</v>
      </c>
      <c r="B388">
        <v>0.91961384951457703</v>
      </c>
      <c r="C388">
        <v>0.19171557863859601</v>
      </c>
      <c r="D388">
        <v>1.13587259142233E-2</v>
      </c>
      <c r="E388">
        <v>1.0401155699890601</v>
      </c>
      <c r="F388" s="3">
        <v>0.104458566314565</v>
      </c>
      <c r="G388">
        <f t="shared" si="56"/>
        <v>0.205881706314681</v>
      </c>
      <c r="H388" t="str">
        <f>IF(F388&gt;$T$2,"buy",IF(F388&lt;0,"sell","keep"))</f>
        <v>keep</v>
      </c>
      <c r="I388" t="str">
        <f t="shared" si="58"/>
        <v>sell</v>
      </c>
      <c r="J388">
        <f t="shared" si="57"/>
        <v>1</v>
      </c>
      <c r="K388" t="str">
        <f t="shared" si="59"/>
        <v>keep</v>
      </c>
      <c r="L388">
        <f t="shared" si="54"/>
        <v>0</v>
      </c>
      <c r="M388">
        <f t="shared" si="55"/>
        <v>0</v>
      </c>
      <c r="N388">
        <f t="shared" si="60"/>
        <v>0</v>
      </c>
      <c r="O388">
        <f t="shared" ref="O388:O451" si="61">IF(K388="sell",P387+(P387*E388/100),IF(K388="buy",0,O387))</f>
        <v>1260.2957133403263</v>
      </c>
      <c r="P388">
        <f t="shared" ref="P388:P451" si="62">IF(K388="buy",O387,IF(K388="sell",0,IF(AND(K388="keep",P387&lt;&gt;0),P387+(P387*E387/100),P387)))</f>
        <v>0</v>
      </c>
      <c r="Q388">
        <f>Q387+(Q387*E388/100)</f>
        <v>1346.3495712916854</v>
      </c>
    </row>
    <row r="389" spans="1:17" x14ac:dyDescent="0.25">
      <c r="A389" s="1">
        <v>45635</v>
      </c>
      <c r="B389">
        <v>-0.83908791869485799</v>
      </c>
      <c r="C389">
        <v>-1.5263581400594799</v>
      </c>
      <c r="D389">
        <v>0.21568285702127099</v>
      </c>
      <c r="E389">
        <v>0.205881706314681</v>
      </c>
      <c r="F389" s="3">
        <v>-0.11127475246059999</v>
      </c>
      <c r="G389">
        <f t="shared" si="56"/>
        <v>-1.0860010644501901</v>
      </c>
      <c r="H389" t="str">
        <f>IF(F389&gt;$T$2,"buy",IF(F389&lt;0,"sell","keep"))</f>
        <v>sell</v>
      </c>
      <c r="I389" t="str">
        <f t="shared" si="58"/>
        <v>sell</v>
      </c>
      <c r="J389">
        <f t="shared" si="57"/>
        <v>1</v>
      </c>
      <c r="K389" t="str">
        <f t="shared" si="59"/>
        <v>keep</v>
      </c>
      <c r="L389">
        <f t="shared" si="54"/>
        <v>0</v>
      </c>
      <c r="M389">
        <f t="shared" si="55"/>
        <v>0</v>
      </c>
      <c r="N389">
        <f t="shared" si="60"/>
        <v>0</v>
      </c>
      <c r="O389">
        <f t="shared" si="61"/>
        <v>1260.2957133403263</v>
      </c>
      <c r="P389">
        <f t="shared" si="62"/>
        <v>0</v>
      </c>
      <c r="Q389">
        <f>Q388+(Q388*E389/100)</f>
        <v>1349.1214587620211</v>
      </c>
    </row>
    <row r="390" spans="1:17" x14ac:dyDescent="0.25">
      <c r="A390" s="1">
        <v>45636</v>
      </c>
      <c r="B390">
        <v>-0.33879592264317498</v>
      </c>
      <c r="C390">
        <v>0.50387221214247502</v>
      </c>
      <c r="D390">
        <v>-0.50972320270188298</v>
      </c>
      <c r="E390">
        <v>-1.0860010644501901</v>
      </c>
      <c r="F390" s="3">
        <v>8.66701349290534E-2</v>
      </c>
      <c r="G390">
        <f t="shared" si="56"/>
        <v>-8.9028160231374706E-2</v>
      </c>
      <c r="H390" t="str">
        <f>IF(F390&gt;$T$2,"buy",IF(F390&lt;0,"sell","keep"))</f>
        <v>keep</v>
      </c>
      <c r="I390" t="str">
        <f t="shared" si="58"/>
        <v>sell</v>
      </c>
      <c r="J390">
        <f t="shared" si="57"/>
        <v>0</v>
      </c>
      <c r="K390" t="str">
        <f t="shared" si="59"/>
        <v>keep</v>
      </c>
      <c r="L390">
        <f t="shared" si="54"/>
        <v>0</v>
      </c>
      <c r="M390">
        <f t="shared" si="55"/>
        <v>0</v>
      </c>
      <c r="N390">
        <f t="shared" si="60"/>
        <v>0</v>
      </c>
      <c r="O390">
        <f t="shared" si="61"/>
        <v>1260.2957133403263</v>
      </c>
      <c r="P390">
        <f t="shared" si="62"/>
        <v>0</v>
      </c>
      <c r="Q390">
        <f>Q389+(Q389*E390/100)</f>
        <v>1334.4699853591396</v>
      </c>
    </row>
    <row r="391" spans="1:17" x14ac:dyDescent="0.25">
      <c r="A391" s="1">
        <v>45637</v>
      </c>
      <c r="B391">
        <v>1.8522905883346401</v>
      </c>
      <c r="C391">
        <v>-0.96220369489890001</v>
      </c>
      <c r="D391">
        <v>-0.74001986774051498</v>
      </c>
      <c r="E391">
        <v>-8.9028160231374706E-2</v>
      </c>
      <c r="F391" s="3">
        <v>-7.3592723058725495E-2</v>
      </c>
      <c r="G391">
        <f t="shared" si="56"/>
        <v>-0.326691659255962</v>
      </c>
      <c r="H391" t="str">
        <f>IF(F391&gt;$T$2,"buy",IF(F391&lt;0,"sell","keep"))</f>
        <v>sell</v>
      </c>
      <c r="I391" t="str">
        <f t="shared" si="58"/>
        <v>sell</v>
      </c>
      <c r="J391">
        <f t="shared" si="57"/>
        <v>1</v>
      </c>
      <c r="K391" t="str">
        <f t="shared" si="59"/>
        <v>keep</v>
      </c>
      <c r="L391">
        <f t="shared" si="54"/>
        <v>0</v>
      </c>
      <c r="M391">
        <f t="shared" si="55"/>
        <v>0</v>
      </c>
      <c r="N391">
        <f t="shared" si="60"/>
        <v>0</v>
      </c>
      <c r="O391">
        <f t="shared" si="61"/>
        <v>1260.2957133403263</v>
      </c>
      <c r="P391">
        <f t="shared" si="62"/>
        <v>0</v>
      </c>
      <c r="Q391">
        <f>Q390+(Q390*E391/100)</f>
        <v>1333.2819312823344</v>
      </c>
    </row>
    <row r="392" spans="1:17" x14ac:dyDescent="0.25">
      <c r="A392" s="1">
        <v>45638</v>
      </c>
      <c r="B392">
        <v>-0.68328924349811904</v>
      </c>
      <c r="C392">
        <v>-0.46081373684935201</v>
      </c>
      <c r="D392">
        <v>-0.67671762872110097</v>
      </c>
      <c r="E392">
        <v>-0.326691659255962</v>
      </c>
      <c r="F392" s="3">
        <v>-4.9267282431632899E-2</v>
      </c>
      <c r="G392">
        <f t="shared" si="56"/>
        <v>1.60904823336642</v>
      </c>
      <c r="H392" t="str">
        <f>IF(F392&gt;$T$2,"buy",IF(F392&lt;0,"sell","keep"))</f>
        <v>sell</v>
      </c>
      <c r="I392" t="str">
        <f t="shared" si="58"/>
        <v>sell</v>
      </c>
      <c r="J392">
        <f t="shared" si="57"/>
        <v>0</v>
      </c>
      <c r="K392" t="str">
        <f t="shared" si="59"/>
        <v>keep</v>
      </c>
      <c r="L392">
        <f t="shared" si="54"/>
        <v>0</v>
      </c>
      <c r="M392">
        <f t="shared" si="55"/>
        <v>0</v>
      </c>
      <c r="N392">
        <f t="shared" si="60"/>
        <v>0</v>
      </c>
      <c r="O392">
        <f t="shared" si="61"/>
        <v>1260.2957133403263</v>
      </c>
      <c r="P392">
        <f t="shared" si="62"/>
        <v>0</v>
      </c>
      <c r="Q392">
        <f>Q391+(Q391*E392/100)</f>
        <v>1328.9262104184681</v>
      </c>
    </row>
    <row r="393" spans="1:17" x14ac:dyDescent="0.25">
      <c r="A393" s="1">
        <v>45639</v>
      </c>
      <c r="B393">
        <v>0.76325890135897601</v>
      </c>
      <c r="C393">
        <v>-0.72975736893493504</v>
      </c>
      <c r="D393">
        <v>0.103923178104259</v>
      </c>
      <c r="E393">
        <v>1.60904823336642</v>
      </c>
      <c r="F393" s="3">
        <v>-5.1865046530042598E-3</v>
      </c>
      <c r="G393">
        <f t="shared" si="56"/>
        <v>-0.41055594054505401</v>
      </c>
      <c r="H393" t="str">
        <f>IF(F393&gt;$T$2,"buy",IF(F393&lt;0,"sell","keep"))</f>
        <v>sell</v>
      </c>
      <c r="I393" t="str">
        <f t="shared" si="58"/>
        <v>sell</v>
      </c>
      <c r="J393">
        <f t="shared" si="57"/>
        <v>1</v>
      </c>
      <c r="K393" t="str">
        <f t="shared" si="59"/>
        <v>keep</v>
      </c>
      <c r="L393">
        <f t="shared" si="54"/>
        <v>0</v>
      </c>
      <c r="M393">
        <f t="shared" si="55"/>
        <v>0</v>
      </c>
      <c r="N393">
        <f t="shared" si="60"/>
        <v>0</v>
      </c>
      <c r="O393">
        <f t="shared" si="61"/>
        <v>1260.2957133403263</v>
      </c>
      <c r="P393">
        <f t="shared" si="62"/>
        <v>0</v>
      </c>
      <c r="Q393">
        <f>Q392+(Q392*E393/100)</f>
        <v>1350.3092741299499</v>
      </c>
    </row>
    <row r="394" spans="1:17" x14ac:dyDescent="0.25">
      <c r="A394" s="1">
        <v>45642</v>
      </c>
      <c r="B394">
        <v>1.45273886319028</v>
      </c>
      <c r="C394">
        <v>-1.60808997954371</v>
      </c>
      <c r="D394">
        <v>-1.00361820067699</v>
      </c>
      <c r="E394">
        <v>-0.41055594054505401</v>
      </c>
      <c r="F394" s="3">
        <v>-0.182023487768323</v>
      </c>
      <c r="G394">
        <f t="shared" si="56"/>
        <v>-0.64781561337163795</v>
      </c>
      <c r="H394" t="str">
        <f>IF(F394&gt;$T$2,"buy",IF(F394&lt;0,"sell","keep"))</f>
        <v>sell</v>
      </c>
      <c r="I394" t="str">
        <f t="shared" si="58"/>
        <v>sell</v>
      </c>
      <c r="J394">
        <f t="shared" si="57"/>
        <v>1</v>
      </c>
      <c r="K394" t="str">
        <f t="shared" si="59"/>
        <v>keep</v>
      </c>
      <c r="L394">
        <f t="shared" si="54"/>
        <v>0</v>
      </c>
      <c r="M394">
        <f t="shared" si="55"/>
        <v>0</v>
      </c>
      <c r="N394">
        <f t="shared" si="60"/>
        <v>0</v>
      </c>
      <c r="O394">
        <f t="shared" si="61"/>
        <v>1260.2957133403263</v>
      </c>
      <c r="P394">
        <f t="shared" si="62"/>
        <v>0</v>
      </c>
      <c r="Q394">
        <f>Q393+(Q393*E394/100)</f>
        <v>1344.7654991892787</v>
      </c>
    </row>
    <row r="395" spans="1:17" x14ac:dyDescent="0.25">
      <c r="A395" s="1">
        <v>45643</v>
      </c>
      <c r="B395">
        <v>-0.432554410707919</v>
      </c>
      <c r="C395">
        <v>0.44362138550715302</v>
      </c>
      <c r="D395">
        <v>2.1849336395578201</v>
      </c>
      <c r="E395">
        <v>-0.64781561337163795</v>
      </c>
      <c r="F395" s="3">
        <v>0.26249146171703702</v>
      </c>
      <c r="G395">
        <f t="shared" si="56"/>
        <v>0.17783332074723299</v>
      </c>
      <c r="H395" t="str">
        <f>IF(F395&gt;$T$2,"buy",IF(F395&lt;0,"sell","keep"))</f>
        <v>buy</v>
      </c>
      <c r="I395" t="str">
        <f t="shared" si="58"/>
        <v>buy</v>
      </c>
      <c r="J395">
        <f t="shared" si="57"/>
        <v>1</v>
      </c>
      <c r="K395" t="str">
        <f t="shared" si="59"/>
        <v>buy</v>
      </c>
      <c r="L395">
        <f t="shared" si="54"/>
        <v>1</v>
      </c>
      <c r="M395">
        <f t="shared" si="55"/>
        <v>0</v>
      </c>
      <c r="N395">
        <f t="shared" si="60"/>
        <v>1</v>
      </c>
      <c r="O395">
        <f t="shared" si="61"/>
        <v>0</v>
      </c>
      <c r="P395">
        <f t="shared" si="62"/>
        <v>1260.2957133403263</v>
      </c>
      <c r="Q395">
        <f>Q394+(Q394*E395/100)</f>
        <v>1336.0538983222955</v>
      </c>
    </row>
    <row r="396" spans="1:17" x14ac:dyDescent="0.25">
      <c r="A396" s="1">
        <v>45644</v>
      </c>
      <c r="B396">
        <v>-3.5987313477951499</v>
      </c>
      <c r="C396">
        <v>-1.8433297005651399</v>
      </c>
      <c r="D396">
        <v>-1.34564984130087</v>
      </c>
      <c r="E396">
        <v>0.17783332074723299</v>
      </c>
      <c r="F396" s="3">
        <v>-0.28901430156143398</v>
      </c>
      <c r="G396">
        <f t="shared" si="56"/>
        <v>-5.9176508412406202E-2</v>
      </c>
      <c r="H396" t="str">
        <f>IF(F396&gt;$T$2,"buy",IF(F396&lt;0,"sell","keep"))</f>
        <v>sell</v>
      </c>
      <c r="I396" t="str">
        <f t="shared" si="58"/>
        <v>sell</v>
      </c>
      <c r="J396">
        <f t="shared" si="57"/>
        <v>1</v>
      </c>
      <c r="K396" t="str">
        <f t="shared" si="59"/>
        <v>sell</v>
      </c>
      <c r="L396">
        <f t="shared" si="54"/>
        <v>0</v>
      </c>
      <c r="M396">
        <f t="shared" si="55"/>
        <v>1</v>
      </c>
      <c r="N396">
        <f t="shared" si="60"/>
        <v>1</v>
      </c>
      <c r="O396">
        <f t="shared" si="61"/>
        <v>1262.5369390585945</v>
      </c>
      <c r="P396">
        <f t="shared" si="62"/>
        <v>0</v>
      </c>
      <c r="Q396">
        <f>Q395+(Q395*E396/100)</f>
        <v>1338.4298473366548</v>
      </c>
    </row>
    <row r="397" spans="1:17" x14ac:dyDescent="0.25">
      <c r="A397" s="1">
        <v>45645</v>
      </c>
      <c r="B397">
        <v>-0.46588266582387999</v>
      </c>
      <c r="C397">
        <v>-0.63466149275202</v>
      </c>
      <c r="D397">
        <v>-0.86696320526673498</v>
      </c>
      <c r="E397">
        <v>-5.9176508412406202E-2</v>
      </c>
      <c r="F397" s="3">
        <v>-7.3608054971757306E-2</v>
      </c>
      <c r="G397">
        <f t="shared" si="56"/>
        <v>-0.79929046077814503</v>
      </c>
      <c r="H397" t="str">
        <f>IF(F397&gt;$T$2,"buy",IF(F397&lt;0,"sell","keep"))</f>
        <v>sell</v>
      </c>
      <c r="I397" t="str">
        <f t="shared" si="58"/>
        <v>sell</v>
      </c>
      <c r="J397">
        <f t="shared" si="57"/>
        <v>1</v>
      </c>
      <c r="K397" t="str">
        <f t="shared" si="59"/>
        <v>keep</v>
      </c>
      <c r="L397">
        <f t="shared" si="54"/>
        <v>0</v>
      </c>
      <c r="M397">
        <f t="shared" si="55"/>
        <v>0</v>
      </c>
      <c r="N397">
        <f t="shared" si="60"/>
        <v>0</v>
      </c>
      <c r="O397">
        <f t="shared" si="61"/>
        <v>1262.5369390585945</v>
      </c>
      <c r="P397">
        <f t="shared" si="62"/>
        <v>0</v>
      </c>
      <c r="Q397">
        <f>Q396+(Q396*E397/100)</f>
        <v>1337.6378112854516</v>
      </c>
    </row>
    <row r="398" spans="1:17" x14ac:dyDescent="0.25">
      <c r="A398" s="1">
        <v>45646</v>
      </c>
      <c r="B398">
        <v>0.84621653850769296</v>
      </c>
      <c r="C398">
        <v>1.1248996974448899</v>
      </c>
      <c r="D398">
        <v>2.3670802872691499</v>
      </c>
      <c r="E398">
        <v>-0.79929046077814503</v>
      </c>
      <c r="F398" s="3">
        <v>0.37109928322040597</v>
      </c>
      <c r="G398">
        <f t="shared" si="56"/>
        <v>0.38794613415658002</v>
      </c>
      <c r="H398" t="str">
        <f>IF(F398&gt;$T$2,"buy",IF(F398&lt;0,"sell","keep"))</f>
        <v>buy</v>
      </c>
      <c r="I398" t="str">
        <f t="shared" si="58"/>
        <v>buy</v>
      </c>
      <c r="J398">
        <f t="shared" si="57"/>
        <v>1</v>
      </c>
      <c r="K398" t="str">
        <f t="shared" si="59"/>
        <v>buy</v>
      </c>
      <c r="L398">
        <f t="shared" si="54"/>
        <v>1</v>
      </c>
      <c r="M398">
        <f t="shared" si="55"/>
        <v>0</v>
      </c>
      <c r="N398">
        <f t="shared" si="60"/>
        <v>1</v>
      </c>
      <c r="O398">
        <f t="shared" si="61"/>
        <v>0</v>
      </c>
      <c r="P398">
        <f t="shared" si="62"/>
        <v>1262.5369390585945</v>
      </c>
      <c r="Q398">
        <f>Q397+(Q397*E398/100)</f>
        <v>1326.9461998600855</v>
      </c>
    </row>
    <row r="399" spans="1:17" x14ac:dyDescent="0.25">
      <c r="A399" s="1">
        <v>45649</v>
      </c>
      <c r="B399">
        <v>1.0052986019782399</v>
      </c>
      <c r="C399">
        <v>-0.46663536715298898</v>
      </c>
      <c r="D399">
        <v>1.6003975584355901</v>
      </c>
      <c r="E399">
        <v>0.38794613415658002</v>
      </c>
      <c r="F399" s="3">
        <v>0.118855526557459</v>
      </c>
      <c r="G399">
        <f t="shared" si="56"/>
        <v>-0.20808496958229999</v>
      </c>
      <c r="H399" t="str">
        <f>IF(F399&gt;$T$2,"buy",IF(F399&lt;0,"sell","keep"))</f>
        <v>keep</v>
      </c>
      <c r="I399" t="str">
        <f t="shared" si="58"/>
        <v>sell</v>
      </c>
      <c r="J399">
        <f t="shared" si="57"/>
        <v>0</v>
      </c>
      <c r="K399" t="str">
        <f t="shared" si="59"/>
        <v>sell</v>
      </c>
      <c r="L399">
        <f t="shared" si="54"/>
        <v>0</v>
      </c>
      <c r="M399">
        <f t="shared" si="55"/>
        <v>1</v>
      </c>
      <c r="N399">
        <f t="shared" si="60"/>
        <v>0</v>
      </c>
      <c r="O399">
        <f t="shared" si="61"/>
        <v>1267.434902305971</v>
      </c>
      <c r="P399">
        <f t="shared" si="62"/>
        <v>0</v>
      </c>
      <c r="Q399">
        <f>Q398+(Q398*E399/100)</f>
        <v>1332.0940363447803</v>
      </c>
    </row>
    <row r="400" spans="1:17" x14ac:dyDescent="0.25">
      <c r="A400" s="1">
        <v>45650</v>
      </c>
      <c r="B400">
        <v>1.3694746859179401</v>
      </c>
      <c r="C400">
        <v>0.81453411541301202</v>
      </c>
      <c r="D400">
        <v>0.90252979809180001</v>
      </c>
      <c r="E400">
        <v>-0.20808496958229999</v>
      </c>
      <c r="F400" s="3">
        <v>0.23740059021957999</v>
      </c>
      <c r="G400">
        <f t="shared" si="56"/>
        <v>0.11736884358966</v>
      </c>
      <c r="H400" t="str">
        <f>IF(F400&gt;$T$2,"buy",IF(F400&lt;0,"sell","keep"))</f>
        <v>buy</v>
      </c>
      <c r="I400" t="str">
        <f t="shared" si="58"/>
        <v>buy</v>
      </c>
      <c r="J400">
        <f t="shared" si="57"/>
        <v>1</v>
      </c>
      <c r="K400" t="str">
        <f t="shared" si="59"/>
        <v>buy</v>
      </c>
      <c r="L400">
        <f t="shared" si="54"/>
        <v>1</v>
      </c>
      <c r="M400">
        <f t="shared" si="55"/>
        <v>0</v>
      </c>
      <c r="N400">
        <f t="shared" si="60"/>
        <v>1</v>
      </c>
      <c r="O400">
        <f t="shared" si="61"/>
        <v>0</v>
      </c>
      <c r="P400">
        <f t="shared" si="62"/>
        <v>1267.434902305971</v>
      </c>
      <c r="Q400">
        <f>Q399+(Q399*E400/100)</f>
        <v>1329.3221488744446</v>
      </c>
    </row>
    <row r="401" spans="1:17" x14ac:dyDescent="0.25">
      <c r="A401" s="1">
        <v>45656</v>
      </c>
      <c r="B401">
        <v>-1.2850064570491999</v>
      </c>
      <c r="C401">
        <v>-1.25774519432166</v>
      </c>
      <c r="D401">
        <v>-1.01678908850099</v>
      </c>
      <c r="E401">
        <v>0.11736884358966</v>
      </c>
      <c r="F401" s="3">
        <v>-0.172884216587534</v>
      </c>
      <c r="G401">
        <f t="shared" si="56"/>
        <v>0.58616803161628495</v>
      </c>
      <c r="H401" t="str">
        <f>IF(F401&gt;$T$2,"buy",IF(F401&lt;0,"sell","keep"))</f>
        <v>sell</v>
      </c>
      <c r="I401" t="str">
        <f t="shared" si="58"/>
        <v>sell</v>
      </c>
      <c r="J401">
        <f t="shared" si="57"/>
        <v>0</v>
      </c>
      <c r="K401" t="str">
        <f t="shared" si="59"/>
        <v>sell</v>
      </c>
      <c r="L401">
        <f t="shared" si="54"/>
        <v>0</v>
      </c>
      <c r="M401">
        <f t="shared" si="55"/>
        <v>1</v>
      </c>
      <c r="N401">
        <f t="shared" si="60"/>
        <v>0</v>
      </c>
      <c r="O401">
        <f t="shared" si="61"/>
        <v>1268.9224759940594</v>
      </c>
      <c r="P401">
        <f t="shared" si="62"/>
        <v>0</v>
      </c>
      <c r="Q401">
        <f>Q400+(Q400*E401/100)</f>
        <v>1330.8823589081596</v>
      </c>
    </row>
    <row r="402" spans="1:17" x14ac:dyDescent="0.25">
      <c r="A402" s="1">
        <v>45657</v>
      </c>
      <c r="B402">
        <v>-0.87238353584430095</v>
      </c>
      <c r="C402">
        <v>0.241831136449355</v>
      </c>
      <c r="D402">
        <v>0.85129850487899394</v>
      </c>
      <c r="E402">
        <v>0.58616803161628495</v>
      </c>
      <c r="F402" s="3">
        <v>0.14708370309521901</v>
      </c>
      <c r="G402">
        <f t="shared" si="56"/>
        <v>0.29137606247810999</v>
      </c>
      <c r="H402" t="str">
        <f>IF(F402&gt;$T$2,"buy",IF(F402&lt;0,"sell","keep"))</f>
        <v>keep</v>
      </c>
      <c r="I402" t="str">
        <f t="shared" si="58"/>
        <v>sell</v>
      </c>
      <c r="J402">
        <f t="shared" si="57"/>
        <v>1</v>
      </c>
      <c r="K402" t="str">
        <f t="shared" si="59"/>
        <v>keep</v>
      </c>
      <c r="L402">
        <f t="shared" si="54"/>
        <v>0</v>
      </c>
      <c r="M402">
        <f t="shared" si="55"/>
        <v>0</v>
      </c>
      <c r="N402">
        <f t="shared" si="60"/>
        <v>0</v>
      </c>
      <c r="O402">
        <f t="shared" si="61"/>
        <v>1268.9224759940594</v>
      </c>
      <c r="P402">
        <f t="shared" si="62"/>
        <v>0</v>
      </c>
      <c r="Q402">
        <f>Q401+(Q401*E402/100)</f>
        <v>1338.6835658344999</v>
      </c>
    </row>
    <row r="403" spans="1:17" x14ac:dyDescent="0.25">
      <c r="A403" s="1">
        <v>45659</v>
      </c>
      <c r="B403">
        <v>-0.17395053145818901</v>
      </c>
      <c r="C403">
        <v>-1.0748403526174899</v>
      </c>
      <c r="D403">
        <v>0.97918995149110999</v>
      </c>
      <c r="E403">
        <v>0.29137606247810999</v>
      </c>
      <c r="F403" s="3">
        <v>-7.8045615619388303E-3</v>
      </c>
      <c r="G403">
        <f t="shared" si="56"/>
        <v>-1.01684751350483</v>
      </c>
      <c r="H403" t="str">
        <f>IF(F403&gt;$T$2,"buy",IF(F403&lt;0,"sell","keep"))</f>
        <v>sell</v>
      </c>
      <c r="I403" t="str">
        <f t="shared" si="58"/>
        <v>sell</v>
      </c>
      <c r="J403">
        <f t="shared" si="57"/>
        <v>1</v>
      </c>
      <c r="K403" t="str">
        <f t="shared" si="59"/>
        <v>keep</v>
      </c>
      <c r="L403">
        <f t="shared" si="54"/>
        <v>0</v>
      </c>
      <c r="M403">
        <f t="shared" si="55"/>
        <v>0</v>
      </c>
      <c r="N403">
        <f t="shared" si="60"/>
        <v>0</v>
      </c>
      <c r="O403">
        <f t="shared" si="61"/>
        <v>1268.9224759940594</v>
      </c>
      <c r="P403">
        <f t="shared" si="62"/>
        <v>0</v>
      </c>
      <c r="Q403">
        <f>Q402+(Q402*E403/100)</f>
        <v>1342.5841692976701</v>
      </c>
    </row>
    <row r="404" spans="1:17" x14ac:dyDescent="0.25">
      <c r="A404" s="1">
        <v>45660</v>
      </c>
      <c r="B404">
        <v>1.6711831640100701</v>
      </c>
      <c r="C404">
        <v>-0.16177029558942499</v>
      </c>
      <c r="D404">
        <v>0.99195389837678505</v>
      </c>
      <c r="E404">
        <v>-1.01684751350483</v>
      </c>
      <c r="F404" s="3">
        <v>0.11173822589736</v>
      </c>
      <c r="G404">
        <f t="shared" si="56"/>
        <v>1.1153489377202199</v>
      </c>
      <c r="H404" t="str">
        <f>IF(F404&gt;$T$2,"buy",IF(F404&lt;0,"sell","keep"))</f>
        <v>keep</v>
      </c>
      <c r="I404" t="str">
        <f t="shared" si="58"/>
        <v>sell</v>
      </c>
      <c r="J404">
        <f t="shared" si="57"/>
        <v>1</v>
      </c>
      <c r="K404" t="str">
        <f t="shared" si="59"/>
        <v>keep</v>
      </c>
      <c r="L404">
        <f t="shared" si="54"/>
        <v>0</v>
      </c>
      <c r="M404">
        <f t="shared" si="55"/>
        <v>0</v>
      </c>
      <c r="N404">
        <f t="shared" si="60"/>
        <v>0</v>
      </c>
      <c r="O404">
        <f t="shared" si="61"/>
        <v>1268.9224759940594</v>
      </c>
      <c r="P404">
        <f t="shared" si="62"/>
        <v>0</v>
      </c>
      <c r="Q404">
        <f>Q403+(Q403*E404/100)</f>
        <v>1328.9321355554573</v>
      </c>
    </row>
    <row r="405" spans="1:17" x14ac:dyDescent="0.25">
      <c r="A405" s="1">
        <v>45663</v>
      </c>
      <c r="B405">
        <v>1.0941484169695499</v>
      </c>
      <c r="C405">
        <v>-0.14267499115714299</v>
      </c>
      <c r="D405">
        <v>-0.61801160528672705</v>
      </c>
      <c r="E405">
        <v>1.1153489377202199</v>
      </c>
      <c r="F405" s="3">
        <v>1.67734467960894E-2</v>
      </c>
      <c r="G405">
        <f t="shared" si="56"/>
        <v>0.89985372433658495</v>
      </c>
      <c r="H405" t="str">
        <f>IF(F405&gt;$T$2,"buy",IF(F405&lt;0,"sell","keep"))</f>
        <v>keep</v>
      </c>
      <c r="I405" t="str">
        <f t="shared" si="58"/>
        <v>sell</v>
      </c>
      <c r="J405">
        <f t="shared" si="57"/>
        <v>1</v>
      </c>
      <c r="K405" t="str">
        <f t="shared" si="59"/>
        <v>keep</v>
      </c>
      <c r="L405">
        <f t="shared" si="54"/>
        <v>0</v>
      </c>
      <c r="M405">
        <f t="shared" si="55"/>
        <v>0</v>
      </c>
      <c r="N405">
        <f t="shared" si="60"/>
        <v>0</v>
      </c>
      <c r="O405">
        <f t="shared" si="61"/>
        <v>1268.9224759940594</v>
      </c>
      <c r="P405">
        <f t="shared" si="62"/>
        <v>0</v>
      </c>
      <c r="Q405">
        <f>Q404+(Q404*E405/100)</f>
        <v>1343.7543660123977</v>
      </c>
    </row>
    <row r="406" spans="1:17" x14ac:dyDescent="0.25">
      <c r="A406" s="1">
        <v>45664</v>
      </c>
      <c r="B406">
        <v>-1.7925320044527899</v>
      </c>
      <c r="C406">
        <v>0.49405743856847301</v>
      </c>
      <c r="D406">
        <v>-0.31651373835624902</v>
      </c>
      <c r="E406">
        <v>0.89985372433658495</v>
      </c>
      <c r="F406" s="3">
        <v>9.2083651199709002E-2</v>
      </c>
      <c r="G406">
        <f t="shared" si="56"/>
        <v>0.25891088628131598</v>
      </c>
      <c r="H406" t="str">
        <f>IF(F406&gt;$T$2,"buy",IF(F406&lt;0,"sell","keep"))</f>
        <v>keep</v>
      </c>
      <c r="I406" t="str">
        <f t="shared" si="58"/>
        <v>sell</v>
      </c>
      <c r="J406">
        <f t="shared" si="57"/>
        <v>1</v>
      </c>
      <c r="K406" t="str">
        <f t="shared" si="59"/>
        <v>keep</v>
      </c>
      <c r="L406">
        <f t="shared" si="54"/>
        <v>0</v>
      </c>
      <c r="M406">
        <f t="shared" si="55"/>
        <v>0</v>
      </c>
      <c r="N406">
        <f t="shared" si="60"/>
        <v>0</v>
      </c>
      <c r="O406">
        <f t="shared" si="61"/>
        <v>1268.9224759940594</v>
      </c>
      <c r="P406">
        <f t="shared" si="62"/>
        <v>0</v>
      </c>
      <c r="Q406">
        <f>Q405+(Q405*E406/100)</f>
        <v>1355.8461897208956</v>
      </c>
    </row>
    <row r="407" spans="1:17" x14ac:dyDescent="0.25">
      <c r="A407" s="1">
        <v>45665</v>
      </c>
      <c r="B407">
        <v>3.7461039964958802E-2</v>
      </c>
      <c r="C407">
        <v>1.21942266166017</v>
      </c>
      <c r="D407">
        <v>-0.57371151000957799</v>
      </c>
      <c r="E407">
        <v>0.25891088628131598</v>
      </c>
      <c r="F407" s="3">
        <v>0.18770775549364299</v>
      </c>
      <c r="G407">
        <f t="shared" si="56"/>
        <v>-1.0638290291952099</v>
      </c>
      <c r="H407" t="str">
        <f>IF(F407&gt;$T$2,"buy",IF(F407&lt;0,"sell","keep"))</f>
        <v>buy</v>
      </c>
      <c r="I407" t="str">
        <f t="shared" si="58"/>
        <v>buy</v>
      </c>
      <c r="J407">
        <f t="shared" si="57"/>
        <v>0</v>
      </c>
      <c r="K407" t="str">
        <f t="shared" si="59"/>
        <v>buy</v>
      </c>
      <c r="L407">
        <f t="shared" si="54"/>
        <v>1</v>
      </c>
      <c r="M407">
        <f t="shared" si="55"/>
        <v>0</v>
      </c>
      <c r="N407">
        <f t="shared" si="60"/>
        <v>0</v>
      </c>
      <c r="O407">
        <f t="shared" si="61"/>
        <v>0</v>
      </c>
      <c r="P407">
        <f t="shared" si="62"/>
        <v>1268.9224759940594</v>
      </c>
      <c r="Q407">
        <f>Q406+(Q406*E407/100)</f>
        <v>1359.3566231073135</v>
      </c>
    </row>
    <row r="408" spans="1:17" x14ac:dyDescent="0.25">
      <c r="A408" s="1">
        <v>45670</v>
      </c>
      <c r="B408">
        <v>-0.30151880824746902</v>
      </c>
      <c r="C408">
        <v>1.7578124416566601</v>
      </c>
      <c r="D408">
        <v>0.89628216888961698</v>
      </c>
      <c r="E408">
        <v>-1.0638290291952099</v>
      </c>
      <c r="F408" s="3">
        <v>0.335371310261114</v>
      </c>
      <c r="G408">
        <f t="shared" si="56"/>
        <v>0.53763102047803502</v>
      </c>
      <c r="H408" t="str">
        <f>IF(F408&gt;$T$2,"buy",IF(F408&lt;0,"sell","keep"))</f>
        <v>buy</v>
      </c>
      <c r="I408" t="str">
        <f t="shared" si="58"/>
        <v>buy</v>
      </c>
      <c r="J408">
        <f t="shared" si="57"/>
        <v>1</v>
      </c>
      <c r="K408" t="str">
        <f t="shared" si="59"/>
        <v>keep</v>
      </c>
      <c r="L408">
        <f t="shared" si="54"/>
        <v>0</v>
      </c>
      <c r="M408">
        <f t="shared" si="55"/>
        <v>0</v>
      </c>
      <c r="N408">
        <f t="shared" si="60"/>
        <v>0</v>
      </c>
      <c r="O408">
        <f t="shared" si="61"/>
        <v>0</v>
      </c>
      <c r="P408">
        <f t="shared" si="62"/>
        <v>1272.2078544228784</v>
      </c>
      <c r="Q408">
        <f>Q407+(Q407*E408/100)</f>
        <v>1344.8953927404102</v>
      </c>
    </row>
    <row r="409" spans="1:17" x14ac:dyDescent="0.25">
      <c r="A409" s="1">
        <v>45671</v>
      </c>
      <c r="B409">
        <v>-0.131397228113316</v>
      </c>
      <c r="C409">
        <v>1.39050906194029</v>
      </c>
      <c r="D409">
        <v>-0.67331766735371201</v>
      </c>
      <c r="E409">
        <v>0.53763102047803502</v>
      </c>
      <c r="F409" s="3">
        <v>0.19195860869301501</v>
      </c>
      <c r="G409">
        <f t="shared" si="56"/>
        <v>2.19846457484724</v>
      </c>
      <c r="H409" t="str">
        <f>IF(F409&gt;$T$2,"buy",IF(F409&lt;0,"sell","keep"))</f>
        <v>buy</v>
      </c>
      <c r="I409" t="str">
        <f t="shared" si="58"/>
        <v>buy</v>
      </c>
      <c r="J409">
        <f t="shared" si="57"/>
        <v>1</v>
      </c>
      <c r="K409" t="str">
        <f t="shared" si="59"/>
        <v>keep</v>
      </c>
      <c r="L409">
        <f t="shared" si="54"/>
        <v>0</v>
      </c>
      <c r="M409">
        <f t="shared" si="55"/>
        <v>0</v>
      </c>
      <c r="N409">
        <f t="shared" si="60"/>
        <v>0</v>
      </c>
      <c r="O409">
        <f t="shared" si="61"/>
        <v>0</v>
      </c>
      <c r="P409">
        <f t="shared" si="62"/>
        <v>1258.6737379558263</v>
      </c>
      <c r="Q409">
        <f>Q408+(Q408*E409/100)</f>
        <v>1352.1259675647625</v>
      </c>
    </row>
    <row r="410" spans="1:17" x14ac:dyDescent="0.25">
      <c r="A410" s="1">
        <v>45672</v>
      </c>
      <c r="B410">
        <v>2.3145442977159498</v>
      </c>
      <c r="C410">
        <v>0.16149352010055201</v>
      </c>
      <c r="D410">
        <v>-1.47201942500505</v>
      </c>
      <c r="E410">
        <v>2.19846457484724</v>
      </c>
      <c r="F410" s="3">
        <v>1.5775656034291301E-2</v>
      </c>
      <c r="G410">
        <f t="shared" si="56"/>
        <v>1.9767445935794601</v>
      </c>
      <c r="H410" t="str">
        <f>IF(F410&gt;$T$2,"buy",IF(F410&lt;0,"sell","keep"))</f>
        <v>keep</v>
      </c>
      <c r="I410" t="str">
        <f t="shared" si="58"/>
        <v>sell</v>
      </c>
      <c r="J410">
        <f t="shared" si="57"/>
        <v>1</v>
      </c>
      <c r="K410" t="str">
        <f t="shared" si="59"/>
        <v>sell</v>
      </c>
      <c r="L410">
        <f t="shared" si="54"/>
        <v>0</v>
      </c>
      <c r="M410">
        <f t="shared" si="55"/>
        <v>1</v>
      </c>
      <c r="N410">
        <f t="shared" si="60"/>
        <v>1</v>
      </c>
      <c r="O410">
        <f t="shared" si="61"/>
        <v>1286.3452341976906</v>
      </c>
      <c r="P410">
        <f t="shared" si="62"/>
        <v>0</v>
      </c>
      <c r="Q410">
        <f>Q409+(Q409*E410/100)</f>
        <v>1381.8519779689843</v>
      </c>
    </row>
    <row r="411" spans="1:17" x14ac:dyDescent="0.25">
      <c r="A411" s="1">
        <v>45673</v>
      </c>
      <c r="B411">
        <v>-0.69027520239284201</v>
      </c>
      <c r="C411">
        <v>1.05377863385935</v>
      </c>
      <c r="D411">
        <v>1.3714541316194699</v>
      </c>
      <c r="E411">
        <v>1.9767445935794601</v>
      </c>
      <c r="F411" s="3">
        <v>0.28242880695526801</v>
      </c>
      <c r="G411">
        <f t="shared" si="56"/>
        <v>0.79817306443146196</v>
      </c>
      <c r="H411" t="str">
        <f>IF(F411&gt;$T$2,"buy",IF(F411&lt;0,"sell","keep"))</f>
        <v>buy</v>
      </c>
      <c r="I411" t="str">
        <f t="shared" si="58"/>
        <v>buy</v>
      </c>
      <c r="J411">
        <f t="shared" si="57"/>
        <v>1</v>
      </c>
      <c r="K411" t="str">
        <f t="shared" si="59"/>
        <v>buy</v>
      </c>
      <c r="L411">
        <f t="shared" si="54"/>
        <v>1</v>
      </c>
      <c r="M411">
        <f t="shared" si="55"/>
        <v>0</v>
      </c>
      <c r="N411">
        <f t="shared" si="60"/>
        <v>1</v>
      </c>
      <c r="O411">
        <f t="shared" si="61"/>
        <v>0</v>
      </c>
      <c r="P411">
        <f t="shared" si="62"/>
        <v>1286.3452341976906</v>
      </c>
      <c r="Q411">
        <f>Q410+(Q410*E411/100)</f>
        <v>1409.167662234757</v>
      </c>
    </row>
    <row r="412" spans="1:17" x14ac:dyDescent="0.25">
      <c r="A412" s="1">
        <v>45674</v>
      </c>
      <c r="B412">
        <v>1.65902995910627</v>
      </c>
      <c r="C412">
        <v>0.81158247068251399</v>
      </c>
      <c r="D412">
        <v>-1.2320003776969899</v>
      </c>
      <c r="E412">
        <v>0.79817306443146196</v>
      </c>
      <c r="F412" s="3">
        <v>0.13339952316082199</v>
      </c>
      <c r="G412">
        <f t="shared" si="56"/>
        <v>1.3333357655262501</v>
      </c>
      <c r="H412" t="str">
        <f>IF(F412&gt;$T$2,"buy",IF(F412&lt;0,"sell","keep"))</f>
        <v>keep</v>
      </c>
      <c r="I412" t="str">
        <f t="shared" si="58"/>
        <v>sell</v>
      </c>
      <c r="J412">
        <f t="shared" si="57"/>
        <v>1</v>
      </c>
      <c r="K412" t="str">
        <f t="shared" si="59"/>
        <v>sell</v>
      </c>
      <c r="L412">
        <f t="shared" si="54"/>
        <v>0</v>
      </c>
      <c r="M412">
        <f t="shared" si="55"/>
        <v>1</v>
      </c>
      <c r="N412">
        <f t="shared" si="60"/>
        <v>1</v>
      </c>
      <c r="O412">
        <f t="shared" si="61"/>
        <v>1296.6124953726544</v>
      </c>
      <c r="P412">
        <f t="shared" si="62"/>
        <v>0</v>
      </c>
      <c r="Q412">
        <f>Q411+(Q411*E412/100)</f>
        <v>1420.4152589473933</v>
      </c>
    </row>
    <row r="413" spans="1:17" x14ac:dyDescent="0.25">
      <c r="A413" s="1">
        <v>45679</v>
      </c>
      <c r="B413">
        <v>1.3284033322426401</v>
      </c>
      <c r="C413">
        <v>3.1637294288566702E-2</v>
      </c>
      <c r="D413">
        <v>-1.9755587137694299</v>
      </c>
      <c r="E413">
        <v>1.3333357655262501</v>
      </c>
      <c r="F413" s="3">
        <v>-8.5991269492768693E-3</v>
      </c>
      <c r="G413">
        <f t="shared" si="56"/>
        <v>1.1198238020275</v>
      </c>
      <c r="H413" t="str">
        <f>IF(F413&gt;$T$2,"buy",IF(F413&lt;0,"sell","keep"))</f>
        <v>sell</v>
      </c>
      <c r="I413" t="str">
        <f t="shared" si="58"/>
        <v>sell</v>
      </c>
      <c r="J413">
        <f t="shared" si="57"/>
        <v>0</v>
      </c>
      <c r="K413" t="str">
        <f t="shared" si="59"/>
        <v>keep</v>
      </c>
      <c r="L413">
        <f t="shared" si="54"/>
        <v>0</v>
      </c>
      <c r="M413">
        <f t="shared" si="55"/>
        <v>0</v>
      </c>
      <c r="N413">
        <f t="shared" si="60"/>
        <v>0</v>
      </c>
      <c r="O413">
        <f t="shared" si="61"/>
        <v>1296.6124953726544</v>
      </c>
      <c r="P413">
        <f t="shared" si="62"/>
        <v>0</v>
      </c>
      <c r="Q413">
        <f>Q412+(Q412*E413/100)</f>
        <v>1439.3541636139312</v>
      </c>
    </row>
    <row r="414" spans="1:17" x14ac:dyDescent="0.25">
      <c r="A414" s="1">
        <v>45680</v>
      </c>
      <c r="B414">
        <v>0.219327723882312</v>
      </c>
      <c r="C414">
        <v>-0.39990420970666901</v>
      </c>
      <c r="D414">
        <v>0.86879402877120204</v>
      </c>
      <c r="E414">
        <v>1.1198238020275</v>
      </c>
      <c r="F414" s="3">
        <v>7.9396588172139501E-2</v>
      </c>
      <c r="G414">
        <f t="shared" si="56"/>
        <v>-0.60907576518883699</v>
      </c>
      <c r="H414" t="str">
        <f>IF(F414&gt;$T$2,"buy",IF(F414&lt;0,"sell","keep"))</f>
        <v>keep</v>
      </c>
      <c r="I414" t="str">
        <f t="shared" si="58"/>
        <v>sell</v>
      </c>
      <c r="J414">
        <f t="shared" si="57"/>
        <v>0</v>
      </c>
      <c r="K414" t="str">
        <f t="shared" si="59"/>
        <v>keep</v>
      </c>
      <c r="L414">
        <f t="shared" si="54"/>
        <v>0</v>
      </c>
      <c r="M414">
        <f t="shared" si="55"/>
        <v>0</v>
      </c>
      <c r="N414">
        <f t="shared" si="60"/>
        <v>0</v>
      </c>
      <c r="O414">
        <f t="shared" si="61"/>
        <v>1296.6124953726544</v>
      </c>
      <c r="P414">
        <f t="shared" si="62"/>
        <v>0</v>
      </c>
      <c r="Q414">
        <f>Q413+(Q413*E414/100)</f>
        <v>1455.4723941335537</v>
      </c>
    </row>
    <row r="415" spans="1:17" x14ac:dyDescent="0.25">
      <c r="A415" s="1">
        <v>45681</v>
      </c>
      <c r="B415">
        <v>-0.57951842084329397</v>
      </c>
      <c r="C415">
        <v>-0.35841778396554702</v>
      </c>
      <c r="D415">
        <v>-0.21678081232926399</v>
      </c>
      <c r="E415">
        <v>-0.60907576518883699</v>
      </c>
      <c r="F415" s="3">
        <v>7.5616175780012299E-3</v>
      </c>
      <c r="G415">
        <f t="shared" si="56"/>
        <v>1.2534683298081899</v>
      </c>
      <c r="H415" t="str">
        <f>IF(F415&gt;$T$2,"buy",IF(F415&lt;0,"sell","keep"))</f>
        <v>keep</v>
      </c>
      <c r="I415" t="str">
        <f t="shared" si="58"/>
        <v>sell</v>
      </c>
      <c r="J415">
        <f t="shared" si="57"/>
        <v>1</v>
      </c>
      <c r="K415" t="str">
        <f t="shared" si="59"/>
        <v>keep</v>
      </c>
      <c r="L415">
        <f t="shared" si="54"/>
        <v>0</v>
      </c>
      <c r="M415">
        <f t="shared" si="55"/>
        <v>0</v>
      </c>
      <c r="N415">
        <f t="shared" si="60"/>
        <v>0</v>
      </c>
      <c r="O415">
        <f t="shared" si="61"/>
        <v>1296.6124953726544</v>
      </c>
      <c r="P415">
        <f t="shared" si="62"/>
        <v>0</v>
      </c>
      <c r="Q415">
        <f>Q414+(Q414*E415/100)</f>
        <v>1446.6074645118724</v>
      </c>
    </row>
    <row r="416" spans="1:17" x14ac:dyDescent="0.25">
      <c r="A416" s="1">
        <v>45684</v>
      </c>
      <c r="B416">
        <v>-2.9701946297966799</v>
      </c>
      <c r="C416">
        <v>5.4639756774221802E-2</v>
      </c>
      <c r="D416">
        <v>3.8755086224227999</v>
      </c>
      <c r="E416">
        <v>1.2534683298081899</v>
      </c>
      <c r="F416" s="3">
        <v>0.24550191190326601</v>
      </c>
      <c r="G416">
        <f t="shared" si="56"/>
        <v>0.88033693070141905</v>
      </c>
      <c r="H416" t="str">
        <f>IF(F416&gt;$T$2,"buy",IF(F416&lt;0,"sell","keep"))</f>
        <v>buy</v>
      </c>
      <c r="I416" t="str">
        <f t="shared" si="58"/>
        <v>buy</v>
      </c>
      <c r="J416">
        <f t="shared" si="57"/>
        <v>1</v>
      </c>
      <c r="K416" t="str">
        <f t="shared" si="59"/>
        <v>buy</v>
      </c>
      <c r="L416">
        <f t="shared" si="54"/>
        <v>1</v>
      </c>
      <c r="M416">
        <f t="shared" si="55"/>
        <v>0</v>
      </c>
      <c r="N416">
        <f t="shared" si="60"/>
        <v>1</v>
      </c>
      <c r="O416">
        <f t="shared" si="61"/>
        <v>0</v>
      </c>
      <c r="P416">
        <f t="shared" si="62"/>
        <v>1296.6124953726544</v>
      </c>
      <c r="Q416">
        <f>Q415+(Q415*E416/100)</f>
        <v>1464.7402309361701</v>
      </c>
    </row>
    <row r="417" spans="1:17" x14ac:dyDescent="0.25">
      <c r="A417" s="1">
        <v>45685</v>
      </c>
      <c r="B417">
        <v>1.5892238697987999</v>
      </c>
      <c r="C417">
        <v>-0.90559570799822997</v>
      </c>
      <c r="D417">
        <v>-1.1814625780141901</v>
      </c>
      <c r="E417">
        <v>0.88033693070141905</v>
      </c>
      <c r="F417" s="3">
        <v>-8.2827764768121995E-2</v>
      </c>
      <c r="G417">
        <f t="shared" si="56"/>
        <v>-0.51813937135900501</v>
      </c>
      <c r="H417" t="str">
        <f>IF(F417&gt;$T$2,"buy",IF(F417&lt;0,"sell","keep"))</f>
        <v>sell</v>
      </c>
      <c r="I417" t="str">
        <f t="shared" si="58"/>
        <v>sell</v>
      </c>
      <c r="J417">
        <f t="shared" si="57"/>
        <v>1</v>
      </c>
      <c r="K417" t="str">
        <f t="shared" si="59"/>
        <v>sell</v>
      </c>
      <c r="L417">
        <f t="shared" si="54"/>
        <v>0</v>
      </c>
      <c r="M417">
        <f t="shared" si="55"/>
        <v>1</v>
      </c>
      <c r="N417">
        <f t="shared" si="60"/>
        <v>1</v>
      </c>
      <c r="O417">
        <f t="shared" si="61"/>
        <v>1308.027054017509</v>
      </c>
      <c r="P417">
        <f t="shared" si="62"/>
        <v>0</v>
      </c>
      <c r="Q417">
        <f>Q416+(Q416*E417/100)</f>
        <v>1477.6348801279423</v>
      </c>
    </row>
    <row r="418" spans="1:17" x14ac:dyDescent="0.25">
      <c r="A418" s="1">
        <v>45686</v>
      </c>
      <c r="B418">
        <v>-0.24031137831788099</v>
      </c>
      <c r="C418">
        <v>0.64522250216227905</v>
      </c>
      <c r="D418">
        <v>0.25743145566099401</v>
      </c>
      <c r="E418">
        <v>-0.51813937135900501</v>
      </c>
      <c r="F418" s="3">
        <v>0.183221639740514</v>
      </c>
      <c r="G418">
        <f t="shared" si="56"/>
        <v>0.57565613717038799</v>
      </c>
      <c r="H418" t="str">
        <f>IF(F418&gt;$T$2,"buy",IF(F418&lt;0,"sell","keep"))</f>
        <v>buy</v>
      </c>
      <c r="I418" t="str">
        <f t="shared" si="58"/>
        <v>buy</v>
      </c>
      <c r="J418">
        <f t="shared" si="57"/>
        <v>1</v>
      </c>
      <c r="K418" t="str">
        <f t="shared" si="59"/>
        <v>buy</v>
      </c>
      <c r="L418">
        <f t="shared" si="54"/>
        <v>1</v>
      </c>
      <c r="M418">
        <f t="shared" si="55"/>
        <v>0</v>
      </c>
      <c r="N418">
        <f t="shared" si="60"/>
        <v>1</v>
      </c>
      <c r="O418">
        <f t="shared" si="61"/>
        <v>0</v>
      </c>
      <c r="P418">
        <f t="shared" si="62"/>
        <v>1308.027054017509</v>
      </c>
      <c r="Q418">
        <f>Q417+(Q417*E418/100)</f>
        <v>1469.9786720490661</v>
      </c>
    </row>
    <row r="419" spans="1:17" x14ac:dyDescent="0.25">
      <c r="A419" s="1">
        <v>45687</v>
      </c>
      <c r="B419">
        <v>0.45143207839550797</v>
      </c>
      <c r="C419">
        <v>1.8388455469091101</v>
      </c>
      <c r="D419">
        <v>0.22252239014008901</v>
      </c>
      <c r="E419">
        <v>0.57565613717038799</v>
      </c>
      <c r="F419" s="3">
        <v>0.35523662909422699</v>
      </c>
      <c r="G419">
        <f t="shared" si="56"/>
        <v>-0.109008682576616</v>
      </c>
      <c r="H419" t="str">
        <f>IF(F419&gt;$T$2,"buy",IF(F419&lt;0,"sell","keep"))</f>
        <v>buy</v>
      </c>
      <c r="I419" t="str">
        <f t="shared" si="58"/>
        <v>buy</v>
      </c>
      <c r="J419">
        <f t="shared" si="57"/>
        <v>0</v>
      </c>
      <c r="K419" t="str">
        <f t="shared" si="59"/>
        <v>keep</v>
      </c>
      <c r="L419">
        <f t="shared" si="54"/>
        <v>0</v>
      </c>
      <c r="M419">
        <f t="shared" si="55"/>
        <v>0</v>
      </c>
      <c r="N419">
        <f t="shared" si="60"/>
        <v>0</v>
      </c>
      <c r="O419">
        <f t="shared" si="61"/>
        <v>0</v>
      </c>
      <c r="P419">
        <f t="shared" si="62"/>
        <v>1301.249650862617</v>
      </c>
      <c r="Q419">
        <f>Q418+(Q418*E419/100)</f>
        <v>1478.4406944898124</v>
      </c>
    </row>
    <row r="420" spans="1:17" x14ac:dyDescent="0.25">
      <c r="A420" s="1">
        <v>45688</v>
      </c>
      <c r="B420">
        <v>-0.139800040991056</v>
      </c>
      <c r="C420">
        <v>-5.8249887096240002E-2</v>
      </c>
      <c r="D420">
        <v>4.6968476987489796</v>
      </c>
      <c r="E420">
        <v>-0.109008682576616</v>
      </c>
      <c r="F420" s="3">
        <v>0.34148339484779</v>
      </c>
      <c r="G420">
        <f t="shared" si="56"/>
        <v>-0.76399217684642795</v>
      </c>
      <c r="H420" t="str">
        <f>IF(F420&gt;$T$2,"buy",IF(F420&lt;0,"sell","keep"))</f>
        <v>buy</v>
      </c>
      <c r="I420" t="str">
        <f t="shared" si="58"/>
        <v>buy</v>
      </c>
      <c r="J420">
        <f t="shared" si="57"/>
        <v>0</v>
      </c>
      <c r="K420" t="str">
        <f t="shared" si="59"/>
        <v>keep</v>
      </c>
      <c r="L420">
        <f t="shared" si="54"/>
        <v>0</v>
      </c>
      <c r="M420">
        <f t="shared" si="55"/>
        <v>0</v>
      </c>
      <c r="N420">
        <f t="shared" si="60"/>
        <v>0</v>
      </c>
      <c r="O420">
        <f t="shared" si="61"/>
        <v>0</v>
      </c>
      <c r="P420">
        <f t="shared" si="62"/>
        <v>1308.740374337716</v>
      </c>
      <c r="Q420">
        <f>Q419+(Q419*E420/100)</f>
        <v>1476.8290657660725</v>
      </c>
    </row>
    <row r="421" spans="1:17" x14ac:dyDescent="0.25">
      <c r="A421" s="1">
        <v>45691</v>
      </c>
      <c r="B421">
        <v>-0.84025643184785204</v>
      </c>
      <c r="C421">
        <v>1.8134058926782799</v>
      </c>
      <c r="D421">
        <v>3.39314522422469</v>
      </c>
      <c r="E421">
        <v>-0.76399217684642795</v>
      </c>
      <c r="F421" s="3">
        <v>0.49325434935448098</v>
      </c>
      <c r="G421">
        <f t="shared" si="56"/>
        <v>1.8971763627160201</v>
      </c>
      <c r="H421" t="str">
        <f>IF(F421&gt;$T$2,"buy",IF(F421&lt;0,"sell","keep"))</f>
        <v>buy</v>
      </c>
      <c r="I421" t="str">
        <f t="shared" si="58"/>
        <v>buy</v>
      </c>
      <c r="J421">
        <f t="shared" si="57"/>
        <v>1</v>
      </c>
      <c r="K421" t="str">
        <f t="shared" si="59"/>
        <v>keep</v>
      </c>
      <c r="L421">
        <f t="shared" si="54"/>
        <v>0</v>
      </c>
      <c r="M421">
        <f t="shared" si="55"/>
        <v>0</v>
      </c>
      <c r="N421">
        <f t="shared" si="60"/>
        <v>0</v>
      </c>
      <c r="O421">
        <f t="shared" si="61"/>
        <v>0</v>
      </c>
      <c r="P421">
        <f t="shared" si="62"/>
        <v>1307.3137336973023</v>
      </c>
      <c r="Q421">
        <f>Q420+(Q420*E421/100)</f>
        <v>1465.5462072382256</v>
      </c>
    </row>
    <row r="422" spans="1:17" x14ac:dyDescent="0.25">
      <c r="A422" s="1">
        <v>45692</v>
      </c>
      <c r="B422">
        <v>1.2646499872849</v>
      </c>
      <c r="C422">
        <v>0.12989410389308001</v>
      </c>
      <c r="D422">
        <v>-9.9928976442120704E-2</v>
      </c>
      <c r="E422">
        <v>1.8971763627160201</v>
      </c>
      <c r="F422" s="3">
        <v>0.106272007194096</v>
      </c>
      <c r="G422">
        <f t="shared" si="56"/>
        <v>-0.29682433100662797</v>
      </c>
      <c r="H422" t="str">
        <f>IF(F422&gt;$T$2,"buy",IF(F422&lt;0,"sell","keep"))</f>
        <v>keep</v>
      </c>
      <c r="I422" t="str">
        <f t="shared" si="58"/>
        <v>sell</v>
      </c>
      <c r="J422">
        <f t="shared" si="57"/>
        <v>0</v>
      </c>
      <c r="K422" t="str">
        <f t="shared" si="59"/>
        <v>sell</v>
      </c>
      <c r="L422">
        <f t="shared" si="54"/>
        <v>0</v>
      </c>
      <c r="M422">
        <f t="shared" si="55"/>
        <v>1</v>
      </c>
      <c r="N422">
        <f t="shared" si="60"/>
        <v>0</v>
      </c>
      <c r="O422">
        <f t="shared" si="61"/>
        <v>1332.1157808395478</v>
      </c>
      <c r="P422">
        <f t="shared" si="62"/>
        <v>0</v>
      </c>
      <c r="Q422">
        <f>Q421+(Q421*E422/100)</f>
        <v>1493.3502034666303</v>
      </c>
    </row>
    <row r="423" spans="1:17" x14ac:dyDescent="0.25">
      <c r="A423" s="1">
        <v>45693</v>
      </c>
      <c r="B423">
        <v>0.423056397044696</v>
      </c>
      <c r="C423">
        <v>-0.24185160237567499</v>
      </c>
      <c r="D423">
        <v>0.94761806515248903</v>
      </c>
      <c r="E423">
        <v>-0.29682433100662797</v>
      </c>
      <c r="F423" s="3">
        <v>0.102719751104552</v>
      </c>
      <c r="G423">
        <f t="shared" si="56"/>
        <v>1.16373896537878</v>
      </c>
      <c r="H423" t="str">
        <f>IF(F423&gt;$T$2,"buy",IF(F423&lt;0,"sell","keep"))</f>
        <v>keep</v>
      </c>
      <c r="I423" t="str">
        <f t="shared" si="58"/>
        <v>sell</v>
      </c>
      <c r="J423">
        <f t="shared" si="57"/>
        <v>1</v>
      </c>
      <c r="K423" t="str">
        <f t="shared" si="59"/>
        <v>keep</v>
      </c>
      <c r="L423">
        <f t="shared" si="54"/>
        <v>0</v>
      </c>
      <c r="M423">
        <f t="shared" si="55"/>
        <v>0</v>
      </c>
      <c r="N423">
        <f t="shared" si="60"/>
        <v>0</v>
      </c>
      <c r="O423">
        <f t="shared" si="61"/>
        <v>1332.1157808395478</v>
      </c>
      <c r="P423">
        <f t="shared" si="62"/>
        <v>0</v>
      </c>
      <c r="Q423">
        <f>Q422+(Q422*E423/100)</f>
        <v>1488.9175767156044</v>
      </c>
    </row>
    <row r="424" spans="1:17" x14ac:dyDescent="0.25">
      <c r="A424" s="1">
        <v>45694</v>
      </c>
      <c r="B424">
        <v>0.53518006799184703</v>
      </c>
      <c r="C424">
        <v>1.5384556653985599</v>
      </c>
      <c r="D424">
        <v>0.63624657044600796</v>
      </c>
      <c r="E424">
        <v>1.16373896537878</v>
      </c>
      <c r="F424" s="3">
        <v>0.34538592994767597</v>
      </c>
      <c r="G424">
        <f t="shared" si="56"/>
        <v>0.48153789370686201</v>
      </c>
      <c r="H424" t="str">
        <f>IF(F424&gt;$T$2,"buy",IF(F424&lt;0,"sell","keep"))</f>
        <v>buy</v>
      </c>
      <c r="I424" t="str">
        <f t="shared" si="58"/>
        <v>buy</v>
      </c>
      <c r="J424">
        <f t="shared" si="57"/>
        <v>1</v>
      </c>
      <c r="K424" t="str">
        <f t="shared" si="59"/>
        <v>buy</v>
      </c>
      <c r="L424">
        <f t="shared" si="54"/>
        <v>1</v>
      </c>
      <c r="M424">
        <f t="shared" si="55"/>
        <v>0</v>
      </c>
      <c r="N424">
        <f t="shared" si="60"/>
        <v>1</v>
      </c>
      <c r="O424">
        <f t="shared" si="61"/>
        <v>0</v>
      </c>
      <c r="P424">
        <f t="shared" si="62"/>
        <v>1332.1157808395478</v>
      </c>
      <c r="Q424">
        <f>Q423+(Q423*E424/100)</f>
        <v>1506.2446907182173</v>
      </c>
    </row>
    <row r="425" spans="1:17" x14ac:dyDescent="0.25">
      <c r="A425" s="1">
        <v>45695</v>
      </c>
      <c r="B425">
        <v>-1.2986077548517601</v>
      </c>
      <c r="C425">
        <v>-1.22211463952808</v>
      </c>
      <c r="D425">
        <v>-1.2281617945719201</v>
      </c>
      <c r="E425">
        <v>0.48153789370686201</v>
      </c>
      <c r="F425" s="3">
        <v>-0.16857821929167</v>
      </c>
      <c r="G425">
        <f t="shared" si="56"/>
        <v>0.479240918336443</v>
      </c>
      <c r="H425" t="str">
        <f>IF(F425&gt;$T$2,"buy",IF(F425&lt;0,"sell","keep"))</f>
        <v>sell</v>
      </c>
      <c r="I425" t="str">
        <f t="shared" si="58"/>
        <v>sell</v>
      </c>
      <c r="J425">
        <f t="shared" si="57"/>
        <v>0</v>
      </c>
      <c r="K425" t="str">
        <f t="shared" si="59"/>
        <v>sell</v>
      </c>
      <c r="L425">
        <f t="shared" si="54"/>
        <v>0</v>
      </c>
      <c r="M425">
        <f t="shared" si="55"/>
        <v>1</v>
      </c>
      <c r="N425">
        <f t="shared" si="60"/>
        <v>0</v>
      </c>
      <c r="O425">
        <f t="shared" si="61"/>
        <v>1338.5304231123393</v>
      </c>
      <c r="P425">
        <f t="shared" si="62"/>
        <v>0</v>
      </c>
      <c r="Q425">
        <f>Q424+(Q424*E425/100)</f>
        <v>1513.4978296759732</v>
      </c>
    </row>
    <row r="426" spans="1:17" x14ac:dyDescent="0.25">
      <c r="A426" s="1">
        <v>45698</v>
      </c>
      <c r="B426">
        <v>1.2350104070949399</v>
      </c>
      <c r="C426">
        <v>1.27678521424092</v>
      </c>
      <c r="D426">
        <v>-0.13643360617296901</v>
      </c>
      <c r="E426">
        <v>0.479240918336443</v>
      </c>
      <c r="F426" s="3">
        <v>0.26902405757376302</v>
      </c>
      <c r="G426">
        <f t="shared" si="56"/>
        <v>0.68891747472532505</v>
      </c>
      <c r="H426" t="str">
        <f>IF(F426&gt;$T$2,"buy",IF(F426&lt;0,"sell","keep"))</f>
        <v>buy</v>
      </c>
      <c r="I426" t="str">
        <f t="shared" si="58"/>
        <v>buy</v>
      </c>
      <c r="J426">
        <f t="shared" si="57"/>
        <v>1</v>
      </c>
      <c r="K426" t="str">
        <f t="shared" si="59"/>
        <v>buy</v>
      </c>
      <c r="L426">
        <f t="shared" si="54"/>
        <v>1</v>
      </c>
      <c r="M426">
        <f t="shared" si="55"/>
        <v>0</v>
      </c>
      <c r="N426">
        <f t="shared" si="60"/>
        <v>1</v>
      </c>
      <c r="O426">
        <f t="shared" si="61"/>
        <v>0</v>
      </c>
      <c r="P426">
        <f t="shared" si="62"/>
        <v>1338.5304231123393</v>
      </c>
      <c r="Q426">
        <f>Q425+(Q425*E426/100)</f>
        <v>1520.7511305739145</v>
      </c>
    </row>
    <row r="427" spans="1:17" x14ac:dyDescent="0.25">
      <c r="A427" s="1">
        <v>45699</v>
      </c>
      <c r="B427">
        <v>-0.29053509483326601</v>
      </c>
      <c r="C427">
        <v>-2.6038833699160099E-2</v>
      </c>
      <c r="D427">
        <v>0.782824573173313</v>
      </c>
      <c r="E427">
        <v>0.68891747472532505</v>
      </c>
      <c r="F427" s="3">
        <v>0.12612930645939899</v>
      </c>
      <c r="G427">
        <f t="shared" si="56"/>
        <v>7.8948634738562604E-2</v>
      </c>
      <c r="H427" t="str">
        <f>IF(F427&gt;$T$2,"buy",IF(F427&lt;0,"sell","keep"))</f>
        <v>keep</v>
      </c>
      <c r="I427" t="str">
        <f t="shared" si="58"/>
        <v>sell</v>
      </c>
      <c r="J427">
        <f t="shared" si="57"/>
        <v>1</v>
      </c>
      <c r="K427" t="str">
        <f t="shared" si="59"/>
        <v>sell</v>
      </c>
      <c r="L427">
        <f t="shared" si="54"/>
        <v>0</v>
      </c>
      <c r="M427">
        <f t="shared" si="55"/>
        <v>1</v>
      </c>
      <c r="N427">
        <f t="shared" si="60"/>
        <v>1</v>
      </c>
      <c r="O427">
        <f t="shared" si="61"/>
        <v>1347.751793101675</v>
      </c>
      <c r="P427">
        <f t="shared" si="62"/>
        <v>0</v>
      </c>
      <c r="Q427">
        <f>Q426+(Q426*E427/100)</f>
        <v>1531.2278508595211</v>
      </c>
    </row>
    <row r="428" spans="1:17" x14ac:dyDescent="0.25">
      <c r="A428" s="1">
        <v>45700</v>
      </c>
      <c r="B428">
        <v>0.118654026323028</v>
      </c>
      <c r="C428">
        <v>-0.473137404518153</v>
      </c>
      <c r="D428">
        <v>0.60991189869155005</v>
      </c>
      <c r="E428">
        <v>7.8948634738562604E-2</v>
      </c>
      <c r="F428" s="3">
        <v>5.4953906415705703E-2</v>
      </c>
      <c r="G428">
        <f t="shared" si="56"/>
        <v>-7.8886355038265604E-2</v>
      </c>
      <c r="H428" t="str">
        <f>IF(F428&gt;$T$2,"buy",IF(F428&lt;0,"sell","keep"))</f>
        <v>keep</v>
      </c>
      <c r="I428" t="str">
        <f t="shared" si="58"/>
        <v>sell</v>
      </c>
      <c r="J428">
        <f t="shared" si="57"/>
        <v>0</v>
      </c>
      <c r="K428" t="str">
        <f t="shared" si="59"/>
        <v>keep</v>
      </c>
      <c r="L428">
        <f t="shared" si="54"/>
        <v>0</v>
      </c>
      <c r="M428">
        <f t="shared" si="55"/>
        <v>0</v>
      </c>
      <c r="N428">
        <f t="shared" si="60"/>
        <v>0</v>
      </c>
      <c r="O428">
        <f t="shared" si="61"/>
        <v>1347.751793101675</v>
      </c>
      <c r="P428">
        <f t="shared" si="62"/>
        <v>0</v>
      </c>
      <c r="Q428">
        <f>Q427+(Q427*E428/100)</f>
        <v>1532.4367343425113</v>
      </c>
    </row>
    <row r="429" spans="1:17" x14ac:dyDescent="0.25">
      <c r="A429" s="1">
        <v>45701</v>
      </c>
      <c r="B429">
        <v>1.43398612676446</v>
      </c>
      <c r="C429">
        <v>0.54298875699105797</v>
      </c>
      <c r="D429">
        <v>0.23316886083182201</v>
      </c>
      <c r="E429">
        <v>-7.8886355038265604E-2</v>
      </c>
      <c r="F429" s="3">
        <v>0.188078224364295</v>
      </c>
      <c r="G429">
        <f t="shared" si="56"/>
        <v>-1.2368443178399</v>
      </c>
      <c r="H429" t="str">
        <f>IF(F429&gt;$T$2,"buy",IF(F429&lt;0,"sell","keep"))</f>
        <v>buy</v>
      </c>
      <c r="I429" t="str">
        <f t="shared" si="58"/>
        <v>buy</v>
      </c>
      <c r="J429">
        <f t="shared" si="57"/>
        <v>0</v>
      </c>
      <c r="K429" t="str">
        <f t="shared" si="59"/>
        <v>buy</v>
      </c>
      <c r="L429">
        <f t="shared" si="54"/>
        <v>1</v>
      </c>
      <c r="M429">
        <f t="shared" si="55"/>
        <v>0</v>
      </c>
      <c r="N429">
        <f t="shared" si="60"/>
        <v>0</v>
      </c>
      <c r="O429">
        <f t="shared" si="61"/>
        <v>0</v>
      </c>
      <c r="P429">
        <f t="shared" si="62"/>
        <v>1347.751793101675</v>
      </c>
      <c r="Q429">
        <f>Q428+(Q428*E429/100)</f>
        <v>1531.2278508595211</v>
      </c>
    </row>
    <row r="430" spans="1:17" x14ac:dyDescent="0.25">
      <c r="A430" s="1">
        <v>45702</v>
      </c>
      <c r="B430">
        <v>0.38118840496452699</v>
      </c>
      <c r="C430">
        <v>-0.87842836408540403</v>
      </c>
      <c r="D430">
        <v>-0.299834173660884</v>
      </c>
      <c r="E430">
        <v>-1.2368443178399</v>
      </c>
      <c r="F430" s="3">
        <v>-5.6147095640953298E-2</v>
      </c>
      <c r="G430">
        <f t="shared" si="56"/>
        <v>-2.0250434622450002</v>
      </c>
      <c r="H430" t="str">
        <f>IF(F430&gt;$T$2,"buy",IF(F430&lt;0,"sell","keep"))</f>
        <v>sell</v>
      </c>
      <c r="I430" t="str">
        <f t="shared" si="58"/>
        <v>sell</v>
      </c>
      <c r="J430">
        <f t="shared" si="57"/>
        <v>1</v>
      </c>
      <c r="K430" t="str">
        <f t="shared" si="59"/>
        <v>sell</v>
      </c>
      <c r="L430">
        <f t="shared" si="54"/>
        <v>0</v>
      </c>
      <c r="M430">
        <f t="shared" si="55"/>
        <v>1</v>
      </c>
      <c r="N430">
        <f t="shared" si="60"/>
        <v>1</v>
      </c>
      <c r="O430">
        <f t="shared" si="61"/>
        <v>1331.0822016301115</v>
      </c>
      <c r="P430">
        <f t="shared" si="62"/>
        <v>0</v>
      </c>
      <c r="Q430">
        <f>Q429+(Q429*E430/100)</f>
        <v>1512.2889461929831</v>
      </c>
    </row>
    <row r="431" spans="1:17" x14ac:dyDescent="0.25">
      <c r="A431" s="1">
        <v>45707</v>
      </c>
      <c r="B431">
        <v>4.9584606654051698E-2</v>
      </c>
      <c r="C431">
        <v>-0.80714993193911</v>
      </c>
      <c r="D431">
        <v>0.56051149506617304</v>
      </c>
      <c r="E431">
        <v>-2.0250434622450002</v>
      </c>
      <c r="F431" s="3">
        <v>-9.5639291395023494E-3</v>
      </c>
      <c r="G431">
        <f t="shared" si="56"/>
        <v>0.19037199483466999</v>
      </c>
      <c r="H431" t="str">
        <f>IF(F431&gt;$T$2,"buy",IF(F431&lt;0,"sell","keep"))</f>
        <v>sell</v>
      </c>
      <c r="I431" t="str">
        <f t="shared" si="58"/>
        <v>sell</v>
      </c>
      <c r="J431">
        <f t="shared" si="57"/>
        <v>0</v>
      </c>
      <c r="K431" t="str">
        <f t="shared" si="59"/>
        <v>keep</v>
      </c>
      <c r="L431">
        <f t="shared" si="54"/>
        <v>0</v>
      </c>
      <c r="M431">
        <f t="shared" si="55"/>
        <v>0</v>
      </c>
      <c r="N431">
        <f t="shared" si="60"/>
        <v>0</v>
      </c>
      <c r="O431">
        <f t="shared" si="61"/>
        <v>1331.0822016301115</v>
      </c>
      <c r="P431">
        <f t="shared" si="62"/>
        <v>0</v>
      </c>
      <c r="Q431">
        <f>Q430+(Q430*E431/100)</f>
        <v>1481.6644377578482</v>
      </c>
    </row>
    <row r="432" spans="1:17" x14ac:dyDescent="0.25">
      <c r="A432" s="1">
        <v>45708</v>
      </c>
      <c r="B432">
        <v>-0.48494320060926599</v>
      </c>
      <c r="C432">
        <v>-3.679397748787E-2</v>
      </c>
      <c r="D432">
        <v>1.78870571158535</v>
      </c>
      <c r="E432">
        <v>0.19037199483466999</v>
      </c>
      <c r="F432" s="3">
        <v>0.17338591102880199</v>
      </c>
      <c r="G432">
        <f t="shared" si="56"/>
        <v>0.38002053699228699</v>
      </c>
      <c r="H432" t="str">
        <f>IF(F432&gt;$T$2,"buy",IF(F432&lt;0,"sell","keep"))</f>
        <v>buy</v>
      </c>
      <c r="I432" t="str">
        <f t="shared" si="58"/>
        <v>buy</v>
      </c>
      <c r="J432">
        <f t="shared" si="57"/>
        <v>1</v>
      </c>
      <c r="K432" t="str">
        <f t="shared" si="59"/>
        <v>buy</v>
      </c>
      <c r="L432">
        <f t="shared" si="54"/>
        <v>1</v>
      </c>
      <c r="M432">
        <f t="shared" si="55"/>
        <v>0</v>
      </c>
      <c r="N432">
        <f t="shared" si="60"/>
        <v>1</v>
      </c>
      <c r="O432">
        <f t="shared" si="61"/>
        <v>0</v>
      </c>
      <c r="P432">
        <f t="shared" si="62"/>
        <v>1331.0822016301115</v>
      </c>
      <c r="Q432">
        <f>Q431+(Q431*E432/100)</f>
        <v>1484.4851119047637</v>
      </c>
    </row>
    <row r="433" spans="1:17" x14ac:dyDescent="0.25">
      <c r="A433" s="1">
        <v>45709</v>
      </c>
      <c r="B433">
        <v>-2.0571833568504698</v>
      </c>
      <c r="C433">
        <v>-0.84434322580921795</v>
      </c>
      <c r="D433">
        <v>0.59735860240273098</v>
      </c>
      <c r="E433">
        <v>0.38002053699228699</v>
      </c>
      <c r="F433" s="3">
        <v>-1.17179213568299E-2</v>
      </c>
      <c r="G433">
        <f t="shared" si="56"/>
        <v>0.32449406952557103</v>
      </c>
      <c r="H433" t="str">
        <f>IF(F433&gt;$T$2,"buy",IF(F433&lt;0,"sell","keep"))</f>
        <v>sell</v>
      </c>
      <c r="I433" t="str">
        <f t="shared" si="58"/>
        <v>sell</v>
      </c>
      <c r="J433">
        <f t="shared" si="57"/>
        <v>0</v>
      </c>
      <c r="K433" t="str">
        <f t="shared" si="59"/>
        <v>sell</v>
      </c>
      <c r="L433">
        <f t="shared" si="54"/>
        <v>0</v>
      </c>
      <c r="M433">
        <f t="shared" si="55"/>
        <v>1</v>
      </c>
      <c r="N433">
        <f t="shared" si="60"/>
        <v>0</v>
      </c>
      <c r="O433">
        <f t="shared" si="61"/>
        <v>1336.1405873605549</v>
      </c>
      <c r="P433">
        <f t="shared" si="62"/>
        <v>0</v>
      </c>
      <c r="Q433">
        <f>Q432+(Q432*E433/100)</f>
        <v>1490.1264601985947</v>
      </c>
    </row>
    <row r="434" spans="1:17" x14ac:dyDescent="0.25">
      <c r="A434" s="1">
        <v>45712</v>
      </c>
      <c r="B434">
        <v>-1.21217280149323</v>
      </c>
      <c r="C434">
        <v>0.115725249605791</v>
      </c>
      <c r="D434">
        <v>0.98970911052451704</v>
      </c>
      <c r="E434">
        <v>0.32449406952557103</v>
      </c>
      <c r="F434" s="3">
        <v>0.15576360113889501</v>
      </c>
      <c r="G434">
        <f t="shared" si="56"/>
        <v>1.2129467063450099</v>
      </c>
      <c r="H434" t="str">
        <f>IF(F434&gt;$T$2,"buy",IF(F434&lt;0,"sell","keep"))</f>
        <v>buy</v>
      </c>
      <c r="I434" t="str">
        <f t="shared" si="58"/>
        <v>buy</v>
      </c>
      <c r="J434">
        <f t="shared" si="57"/>
        <v>1</v>
      </c>
      <c r="K434" t="str">
        <f t="shared" si="59"/>
        <v>buy</v>
      </c>
      <c r="L434">
        <f t="shared" si="54"/>
        <v>1</v>
      </c>
      <c r="M434">
        <f t="shared" si="55"/>
        <v>0</v>
      </c>
      <c r="N434">
        <f t="shared" si="60"/>
        <v>1</v>
      </c>
      <c r="O434">
        <f t="shared" si="61"/>
        <v>0</v>
      </c>
      <c r="P434">
        <f t="shared" si="62"/>
        <v>1336.1405873605549</v>
      </c>
      <c r="Q434">
        <f>Q433+(Q433*E434/100)</f>
        <v>1494.9618321903704</v>
      </c>
    </row>
    <row r="435" spans="1:17" x14ac:dyDescent="0.25">
      <c r="A435" s="1">
        <v>45713</v>
      </c>
      <c r="B435">
        <v>-1.24030107210171</v>
      </c>
      <c r="C435">
        <v>1.95406734362251</v>
      </c>
      <c r="D435">
        <v>2.9403850644826798E-2</v>
      </c>
      <c r="E435">
        <v>1.2129467063450099</v>
      </c>
      <c r="F435" s="3">
        <v>0.38402074568836397</v>
      </c>
      <c r="G435">
        <f t="shared" si="56"/>
        <v>1.8375579624943099</v>
      </c>
      <c r="H435" t="str">
        <f>IF(F435&gt;$T$2,"buy",IF(F435&lt;0,"sell","keep"))</f>
        <v>buy</v>
      </c>
      <c r="I435" t="str">
        <f t="shared" si="58"/>
        <v>buy</v>
      </c>
      <c r="J435">
        <f t="shared" si="57"/>
        <v>1</v>
      </c>
      <c r="K435" t="str">
        <f t="shared" si="59"/>
        <v>keep</v>
      </c>
      <c r="L435">
        <f t="shared" si="54"/>
        <v>0</v>
      </c>
      <c r="M435">
        <f t="shared" si="55"/>
        <v>0</v>
      </c>
      <c r="N435">
        <f t="shared" si="60"/>
        <v>0</v>
      </c>
      <c r="O435">
        <f t="shared" si="61"/>
        <v>0</v>
      </c>
      <c r="P435">
        <f t="shared" si="62"/>
        <v>1340.4762843270641</v>
      </c>
      <c r="Q435">
        <f>Q434+(Q434*E435/100)</f>
        <v>1513.0949224950384</v>
      </c>
    </row>
    <row r="436" spans="1:17" x14ac:dyDescent="0.25">
      <c r="A436" s="1">
        <v>45714</v>
      </c>
      <c r="B436">
        <v>0.2165759967516</v>
      </c>
      <c r="C436">
        <v>-1.27062271872653</v>
      </c>
      <c r="D436">
        <v>-0.553549222139471</v>
      </c>
      <c r="E436">
        <v>1.8375579624943099</v>
      </c>
      <c r="F436" s="3">
        <v>-0.146750412766845</v>
      </c>
      <c r="G436">
        <f t="shared" si="56"/>
        <v>-1.3859983489635299</v>
      </c>
      <c r="H436" t="str">
        <f>IF(F436&gt;$T$2,"buy",IF(F436&lt;0,"sell","keep"))</f>
        <v>sell</v>
      </c>
      <c r="I436" t="str">
        <f t="shared" si="58"/>
        <v>sell</v>
      </c>
      <c r="J436">
        <f t="shared" si="57"/>
        <v>1</v>
      </c>
      <c r="K436" t="str">
        <f t="shared" si="59"/>
        <v>sell</v>
      </c>
      <c r="L436">
        <f t="shared" si="54"/>
        <v>0</v>
      </c>
      <c r="M436">
        <f t="shared" si="55"/>
        <v>1</v>
      </c>
      <c r="N436">
        <f t="shared" si="60"/>
        <v>1</v>
      </c>
      <c r="O436">
        <f t="shared" si="61"/>
        <v>1365.108313025064</v>
      </c>
      <c r="P436">
        <f t="shared" si="62"/>
        <v>0</v>
      </c>
      <c r="Q436">
        <f>Q435+(Q435*E436/100)</f>
        <v>1540.8989187234431</v>
      </c>
    </row>
    <row r="437" spans="1:17" x14ac:dyDescent="0.25">
      <c r="A437" s="1">
        <v>45715</v>
      </c>
      <c r="B437">
        <v>-2.7538584600540301</v>
      </c>
      <c r="C437">
        <v>-0.27515675330845801</v>
      </c>
      <c r="D437">
        <v>0.99011593120723596</v>
      </c>
      <c r="E437">
        <v>-1.3859983489635299</v>
      </c>
      <c r="F437" s="3">
        <v>0.128581719067133</v>
      </c>
      <c r="G437">
        <f t="shared" si="56"/>
        <v>-0.71599131824292495</v>
      </c>
      <c r="H437" t="str">
        <f>IF(F437&gt;$T$2,"buy",IF(F437&lt;0,"sell","keep"))</f>
        <v>keep</v>
      </c>
      <c r="I437" t="str">
        <f t="shared" si="58"/>
        <v>sell</v>
      </c>
      <c r="J437">
        <f t="shared" si="57"/>
        <v>0</v>
      </c>
      <c r="K437" t="str">
        <f t="shared" si="59"/>
        <v>keep</v>
      </c>
      <c r="L437">
        <f t="shared" si="54"/>
        <v>0</v>
      </c>
      <c r="M437">
        <f t="shared" si="55"/>
        <v>0</v>
      </c>
      <c r="N437">
        <f t="shared" si="60"/>
        <v>0</v>
      </c>
      <c r="O437">
        <f t="shared" si="61"/>
        <v>1365.108313025064</v>
      </c>
      <c r="P437">
        <f t="shared" si="62"/>
        <v>0</v>
      </c>
      <c r="Q437">
        <f>Q436+(Q436*E437/100)</f>
        <v>1519.5420851507392</v>
      </c>
    </row>
    <row r="438" spans="1:17" x14ac:dyDescent="0.25">
      <c r="A438" s="1">
        <v>45716</v>
      </c>
      <c r="B438">
        <v>1.6226060117737</v>
      </c>
      <c r="C438">
        <v>1.4708439714157899</v>
      </c>
      <c r="D438">
        <v>1.9558944524067801</v>
      </c>
      <c r="E438">
        <v>-0.71599131824292495</v>
      </c>
      <c r="F438" s="3">
        <v>0.41723474152182599</v>
      </c>
      <c r="G438">
        <f t="shared" si="56"/>
        <v>1.8963801648102101</v>
      </c>
      <c r="H438" t="str">
        <f>IF(F438&gt;$T$2,"buy",IF(F438&lt;0,"sell","keep"))</f>
        <v>buy</v>
      </c>
      <c r="I438" t="str">
        <f t="shared" si="58"/>
        <v>buy</v>
      </c>
      <c r="J438">
        <f t="shared" si="57"/>
        <v>1</v>
      </c>
      <c r="K438" t="str">
        <f t="shared" si="59"/>
        <v>buy</v>
      </c>
      <c r="L438">
        <f t="shared" si="54"/>
        <v>1</v>
      </c>
      <c r="M438">
        <f t="shared" si="55"/>
        <v>0</v>
      </c>
      <c r="N438">
        <f t="shared" si="60"/>
        <v>1</v>
      </c>
      <c r="O438">
        <f t="shared" si="61"/>
        <v>0</v>
      </c>
      <c r="P438">
        <f t="shared" si="62"/>
        <v>1365.108313025064</v>
      </c>
      <c r="Q438">
        <f>Q437+(Q437*E438/100)</f>
        <v>1508.6622957440125</v>
      </c>
    </row>
    <row r="439" spans="1:17" x14ac:dyDescent="0.25">
      <c r="A439" s="1">
        <v>45719</v>
      </c>
      <c r="B439">
        <v>-2.1969980224109298</v>
      </c>
      <c r="C439">
        <v>-1.02772274080588</v>
      </c>
      <c r="D439">
        <v>1.1720825968458899</v>
      </c>
      <c r="E439">
        <v>1.8963801648102101</v>
      </c>
      <c r="F439" s="3">
        <v>-9.1954816651292608E-3</v>
      </c>
      <c r="G439">
        <f t="shared" si="56"/>
        <v>-0.49803852166474499</v>
      </c>
      <c r="H439" t="str">
        <f>IF(F439&gt;$T$2,"buy",IF(F439&lt;0,"sell","keep"))</f>
        <v>sell</v>
      </c>
      <c r="I439" t="str">
        <f t="shared" si="58"/>
        <v>sell</v>
      </c>
      <c r="J439">
        <f t="shared" si="57"/>
        <v>1</v>
      </c>
      <c r="K439" t="str">
        <f t="shared" si="59"/>
        <v>sell</v>
      </c>
      <c r="L439">
        <f t="shared" si="54"/>
        <v>0</v>
      </c>
      <c r="M439">
        <f t="shared" si="55"/>
        <v>1</v>
      </c>
      <c r="N439">
        <f t="shared" si="60"/>
        <v>1</v>
      </c>
      <c r="O439">
        <f t="shared" si="61"/>
        <v>1390.9959563014465</v>
      </c>
      <c r="P439">
        <f t="shared" si="62"/>
        <v>0</v>
      </c>
      <c r="Q439">
        <f>Q438+(Q438*E439/100)</f>
        <v>1537.2722682744723</v>
      </c>
    </row>
    <row r="440" spans="1:17" x14ac:dyDescent="0.25">
      <c r="A440" s="1">
        <v>45720</v>
      </c>
      <c r="B440">
        <v>-0.35764360654919602</v>
      </c>
      <c r="C440">
        <v>-0.19469730687571199</v>
      </c>
      <c r="D440">
        <v>-1.7590390484267</v>
      </c>
      <c r="E440">
        <v>-0.49803852166474499</v>
      </c>
      <c r="F440" s="3">
        <v>-4.6491027423504597E-2</v>
      </c>
      <c r="G440">
        <f t="shared" si="56"/>
        <v>0.94836072221007295</v>
      </c>
      <c r="H440" t="str">
        <f>IF(F440&gt;$T$2,"buy",IF(F440&lt;0,"sell","keep"))</f>
        <v>sell</v>
      </c>
      <c r="I440" t="str">
        <f t="shared" si="58"/>
        <v>sell</v>
      </c>
      <c r="J440">
        <f t="shared" si="57"/>
        <v>0</v>
      </c>
      <c r="K440" t="str">
        <f t="shared" si="59"/>
        <v>keep</v>
      </c>
      <c r="L440">
        <f t="shared" si="54"/>
        <v>0</v>
      </c>
      <c r="M440">
        <f t="shared" si="55"/>
        <v>0</v>
      </c>
      <c r="N440">
        <f t="shared" si="60"/>
        <v>0</v>
      </c>
      <c r="O440">
        <f t="shared" si="61"/>
        <v>1390.9959563014465</v>
      </c>
      <c r="P440">
        <f t="shared" si="62"/>
        <v>0</v>
      </c>
      <c r="Q440">
        <f>Q439+(Q439*E440/100)</f>
        <v>1529.616060195596</v>
      </c>
    </row>
    <row r="441" spans="1:17" x14ac:dyDescent="0.25">
      <c r="A441" s="1">
        <v>45721</v>
      </c>
      <c r="B441">
        <v>1.3557609307427401</v>
      </c>
      <c r="C441">
        <v>1.4956024017432901</v>
      </c>
      <c r="D441">
        <v>1.8194107011888501</v>
      </c>
      <c r="E441">
        <v>0.94836072221007295</v>
      </c>
      <c r="F441" s="3">
        <v>0.43132526736910898</v>
      </c>
      <c r="G441">
        <f t="shared" si="56"/>
        <v>0.86118295064361305</v>
      </c>
      <c r="H441" t="str">
        <f>IF(F441&gt;$T$2,"buy",IF(F441&lt;0,"sell","keep"))</f>
        <v>buy</v>
      </c>
      <c r="I441" t="str">
        <f t="shared" si="58"/>
        <v>buy</v>
      </c>
      <c r="J441">
        <f t="shared" si="57"/>
        <v>1</v>
      </c>
      <c r="K441" t="str">
        <f t="shared" si="59"/>
        <v>buy</v>
      </c>
      <c r="L441">
        <f t="shared" si="54"/>
        <v>1</v>
      </c>
      <c r="M441">
        <f t="shared" si="55"/>
        <v>0</v>
      </c>
      <c r="N441">
        <f t="shared" si="60"/>
        <v>1</v>
      </c>
      <c r="O441">
        <f t="shared" si="61"/>
        <v>0</v>
      </c>
      <c r="P441">
        <f t="shared" si="62"/>
        <v>1390.9959563014465</v>
      </c>
      <c r="Q441">
        <f>Q440+(Q440*E441/100)</f>
        <v>1544.1223381111083</v>
      </c>
    </row>
    <row r="442" spans="1:17" x14ac:dyDescent="0.25">
      <c r="A442" s="1">
        <v>45722</v>
      </c>
      <c r="B442">
        <v>-2.7914349978393802</v>
      </c>
      <c r="C442">
        <v>-0.446334713782436</v>
      </c>
      <c r="D442">
        <v>-0.37345178503586002</v>
      </c>
      <c r="E442">
        <v>0.86118295064361305</v>
      </c>
      <c r="F442" s="3">
        <v>1.1933097074464799E-4</v>
      </c>
      <c r="G442">
        <f t="shared" si="56"/>
        <v>0.28459264103946003</v>
      </c>
      <c r="H442" t="str">
        <f>IF(F442&gt;$T$2,"buy",IF(F442&lt;0,"sell","keep"))</f>
        <v>keep</v>
      </c>
      <c r="I442" t="str">
        <f t="shared" si="58"/>
        <v>sell</v>
      </c>
      <c r="J442">
        <f t="shared" si="57"/>
        <v>1</v>
      </c>
      <c r="K442" t="str">
        <f t="shared" si="59"/>
        <v>sell</v>
      </c>
      <c r="L442">
        <f t="shared" si="54"/>
        <v>0</v>
      </c>
      <c r="M442">
        <f t="shared" si="55"/>
        <v>1</v>
      </c>
      <c r="N442">
        <f t="shared" si="60"/>
        <v>1</v>
      </c>
      <c r="O442">
        <f t="shared" si="61"/>
        <v>1402.9749763212567</v>
      </c>
      <c r="P442">
        <f t="shared" si="62"/>
        <v>0</v>
      </c>
      <c r="Q442">
        <f>Q441+(Q441*E442/100)</f>
        <v>1557.4200564240007</v>
      </c>
    </row>
    <row r="443" spans="1:17" x14ac:dyDescent="0.25">
      <c r="A443" s="1">
        <v>45723</v>
      </c>
      <c r="B443">
        <v>0.74173948691855696</v>
      </c>
      <c r="C443">
        <v>0.55989227839228195</v>
      </c>
      <c r="D443">
        <v>1.6797123550492601</v>
      </c>
      <c r="E443">
        <v>0.28459264103946003</v>
      </c>
      <c r="F443" s="3">
        <v>0.27150707628166298</v>
      </c>
      <c r="G443">
        <f t="shared" si="56"/>
        <v>-0.61919462913280199</v>
      </c>
      <c r="H443" t="str">
        <f>IF(F443&gt;$T$2,"buy",IF(F443&lt;0,"sell","keep"))</f>
        <v>buy</v>
      </c>
      <c r="I443" t="str">
        <f t="shared" si="58"/>
        <v>buy</v>
      </c>
      <c r="J443">
        <f t="shared" si="57"/>
        <v>0</v>
      </c>
      <c r="K443" t="str">
        <f t="shared" si="59"/>
        <v>buy</v>
      </c>
      <c r="L443">
        <f t="shared" si="54"/>
        <v>1</v>
      </c>
      <c r="M443">
        <f t="shared" si="55"/>
        <v>0</v>
      </c>
      <c r="N443">
        <f t="shared" si="60"/>
        <v>0</v>
      </c>
      <c r="O443">
        <f t="shared" si="61"/>
        <v>0</v>
      </c>
      <c r="P443">
        <f t="shared" si="62"/>
        <v>1402.9749763212567</v>
      </c>
      <c r="Q443">
        <f>Q442+(Q442*E443/100)</f>
        <v>1561.852359294656</v>
      </c>
    </row>
    <row r="444" spans="1:17" x14ac:dyDescent="0.25">
      <c r="A444" s="1">
        <v>45726</v>
      </c>
      <c r="B444">
        <v>-3.8137015194959298</v>
      </c>
      <c r="C444">
        <v>-1.43140537112181</v>
      </c>
      <c r="D444">
        <v>1.1059924994954999</v>
      </c>
      <c r="E444">
        <v>-0.61919462913280199</v>
      </c>
      <c r="F444" s="3">
        <v>-7.5021275032461199E-2</v>
      </c>
      <c r="G444">
        <f t="shared" si="56"/>
        <v>-1.2720625533521099</v>
      </c>
      <c r="H444" t="str">
        <f>IF(F444&gt;$T$2,"buy",IF(F444&lt;0,"sell","keep"))</f>
        <v>sell</v>
      </c>
      <c r="I444" t="str">
        <f t="shared" si="58"/>
        <v>sell</v>
      </c>
      <c r="J444">
        <f t="shared" si="57"/>
        <v>1</v>
      </c>
      <c r="K444" t="str">
        <f t="shared" si="59"/>
        <v>sell</v>
      </c>
      <c r="L444">
        <f t="shared" si="54"/>
        <v>0</v>
      </c>
      <c r="M444">
        <f t="shared" si="55"/>
        <v>1</v>
      </c>
      <c r="N444">
        <f t="shared" si="60"/>
        <v>1</v>
      </c>
      <c r="O444">
        <f t="shared" si="61"/>
        <v>1394.2878306197983</v>
      </c>
      <c r="P444">
        <f t="shared" si="62"/>
        <v>0</v>
      </c>
      <c r="Q444">
        <f>Q443+(Q443*E444/100)</f>
        <v>1552.1814533709196</v>
      </c>
    </row>
    <row r="445" spans="1:17" x14ac:dyDescent="0.25">
      <c r="A445" s="1">
        <v>45727</v>
      </c>
      <c r="B445">
        <v>-0.27784685473781701</v>
      </c>
      <c r="C445">
        <v>-1.7292138803253401</v>
      </c>
      <c r="D445">
        <v>-1.41697214773994</v>
      </c>
      <c r="E445">
        <v>-1.2720625533521099</v>
      </c>
      <c r="F445" s="3">
        <v>-0.28598250204190101</v>
      </c>
      <c r="G445">
        <f t="shared" si="56"/>
        <v>2.0773054576888001</v>
      </c>
      <c r="H445" t="str">
        <f>IF(F445&gt;$T$2,"buy",IF(F445&lt;0,"sell","keep"))</f>
        <v>sell</v>
      </c>
      <c r="I445" t="str">
        <f t="shared" si="58"/>
        <v>sell</v>
      </c>
      <c r="J445">
        <f t="shared" si="57"/>
        <v>0</v>
      </c>
      <c r="K445" t="str">
        <f t="shared" si="59"/>
        <v>keep</v>
      </c>
      <c r="L445">
        <f t="shared" si="54"/>
        <v>0</v>
      </c>
      <c r="M445">
        <f t="shared" si="55"/>
        <v>0</v>
      </c>
      <c r="N445">
        <f t="shared" si="60"/>
        <v>0</v>
      </c>
      <c r="O445">
        <f t="shared" si="61"/>
        <v>1394.2878306197983</v>
      </c>
      <c r="P445">
        <f t="shared" si="62"/>
        <v>0</v>
      </c>
      <c r="Q445">
        <f>Q444+(Q444*E445/100)</f>
        <v>1532.4367343425115</v>
      </c>
    </row>
    <row r="446" spans="1:17" x14ac:dyDescent="0.25">
      <c r="A446" s="1">
        <v>45728</v>
      </c>
      <c r="B446">
        <v>1.13051058138873</v>
      </c>
      <c r="C446">
        <v>-0.63867033964265496</v>
      </c>
      <c r="D446">
        <v>-0.716328813354838</v>
      </c>
      <c r="E446">
        <v>2.0773054576888001</v>
      </c>
      <c r="F446" s="3">
        <v>-4.4901432379120497E-2</v>
      </c>
      <c r="G446">
        <f t="shared" si="56"/>
        <v>-0.154561985515899</v>
      </c>
      <c r="H446" t="str">
        <f>IF(F446&gt;$T$2,"buy",IF(F446&lt;0,"sell","keep"))</f>
        <v>sell</v>
      </c>
      <c r="I446" t="str">
        <f t="shared" si="58"/>
        <v>sell</v>
      </c>
      <c r="J446">
        <f t="shared" si="57"/>
        <v>1</v>
      </c>
      <c r="K446" t="str">
        <f t="shared" si="59"/>
        <v>keep</v>
      </c>
      <c r="L446">
        <f t="shared" si="54"/>
        <v>0</v>
      </c>
      <c r="M446">
        <f t="shared" si="55"/>
        <v>0</v>
      </c>
      <c r="N446">
        <f t="shared" si="60"/>
        <v>0</v>
      </c>
      <c r="O446">
        <f t="shared" si="61"/>
        <v>1394.2878306197983</v>
      </c>
      <c r="P446">
        <f t="shared" si="62"/>
        <v>0</v>
      </c>
      <c r="Q446">
        <f>Q445+(Q445*E446/100)</f>
        <v>1564.2701262606365</v>
      </c>
    </row>
    <row r="447" spans="1:17" x14ac:dyDescent="0.25">
      <c r="A447" s="1">
        <v>45729</v>
      </c>
      <c r="B447">
        <v>-1.8908894324640599</v>
      </c>
      <c r="C447">
        <v>0.79836748102042299</v>
      </c>
      <c r="D447">
        <v>-0.24049407707664699</v>
      </c>
      <c r="E447">
        <v>-0.154561985515899</v>
      </c>
      <c r="F447" s="3">
        <v>0.199735971597648</v>
      </c>
      <c r="G447">
        <f t="shared" si="56"/>
        <v>0.180608369946999</v>
      </c>
      <c r="H447" t="str">
        <f>IF(F447&gt;$T$2,"buy",IF(F447&lt;0,"sell","keep"))</f>
        <v>buy</v>
      </c>
      <c r="I447" t="str">
        <f t="shared" si="58"/>
        <v>buy</v>
      </c>
      <c r="J447">
        <f t="shared" si="57"/>
        <v>1</v>
      </c>
      <c r="K447" t="str">
        <f t="shared" si="59"/>
        <v>buy</v>
      </c>
      <c r="L447">
        <f t="shared" si="54"/>
        <v>1</v>
      </c>
      <c r="M447">
        <f t="shared" si="55"/>
        <v>0</v>
      </c>
      <c r="N447">
        <f t="shared" si="60"/>
        <v>1</v>
      </c>
      <c r="O447">
        <f t="shared" si="61"/>
        <v>0</v>
      </c>
      <c r="P447">
        <f t="shared" si="62"/>
        <v>1394.2878306197983</v>
      </c>
      <c r="Q447">
        <f>Q446+(Q446*E447/100)</f>
        <v>1561.852359294656</v>
      </c>
    </row>
    <row r="448" spans="1:17" x14ac:dyDescent="0.25">
      <c r="A448" s="1">
        <v>45730</v>
      </c>
      <c r="B448">
        <v>2.4923182389581902</v>
      </c>
      <c r="C448">
        <v>0.49419272877140302</v>
      </c>
      <c r="D448">
        <v>0.103994685610642</v>
      </c>
      <c r="E448">
        <v>0.180608369946999</v>
      </c>
      <c r="F448" s="3">
        <v>0.18104533673811199</v>
      </c>
      <c r="G448">
        <f t="shared" si="56"/>
        <v>1.1073847314295</v>
      </c>
      <c r="H448" t="str">
        <f>IF(F448&gt;$T$2,"buy",IF(F448&lt;0,"sell","keep"))</f>
        <v>buy</v>
      </c>
      <c r="I448" t="str">
        <f t="shared" si="58"/>
        <v>buy</v>
      </c>
      <c r="J448">
        <f t="shared" si="57"/>
        <v>1</v>
      </c>
      <c r="K448" t="str">
        <f t="shared" si="59"/>
        <v>keep</v>
      </c>
      <c r="L448">
        <f t="shared" ref="L448:L511" si="63">IF(K448="buy",1,0)</f>
        <v>0</v>
      </c>
      <c r="M448">
        <f t="shared" ref="M448:M511" si="64">IF(K448="sell",1,0)</f>
        <v>0</v>
      </c>
      <c r="N448">
        <f t="shared" si="60"/>
        <v>0</v>
      </c>
      <c r="O448">
        <f t="shared" si="61"/>
        <v>0</v>
      </c>
      <c r="P448">
        <f t="shared" si="62"/>
        <v>1392.1327916649859</v>
      </c>
      <c r="Q448">
        <f>Q447+(Q447*E448/100)</f>
        <v>1564.6731953817568</v>
      </c>
    </row>
    <row r="449" spans="1:17" x14ac:dyDescent="0.25">
      <c r="A449" s="1">
        <v>45733</v>
      </c>
      <c r="B449">
        <v>0.54606227752504999</v>
      </c>
      <c r="C449">
        <v>1.0559838815926199</v>
      </c>
      <c r="D449">
        <v>1.27496100154771</v>
      </c>
      <c r="E449">
        <v>1.1073847314295</v>
      </c>
      <c r="F449" s="3">
        <v>0.32659341933526198</v>
      </c>
      <c r="G449">
        <f t="shared" si="56"/>
        <v>1.65562839337334</v>
      </c>
      <c r="H449" t="str">
        <f>IF(F449&gt;$T$2,"buy",IF(F449&lt;0,"sell","keep"))</f>
        <v>buy</v>
      </c>
      <c r="I449" t="str">
        <f t="shared" si="58"/>
        <v>buy</v>
      </c>
      <c r="J449">
        <f t="shared" si="57"/>
        <v>1</v>
      </c>
      <c r="K449" t="str">
        <f t="shared" si="59"/>
        <v>keep</v>
      </c>
      <c r="L449">
        <f t="shared" si="63"/>
        <v>0</v>
      </c>
      <c r="M449">
        <f t="shared" si="64"/>
        <v>0</v>
      </c>
      <c r="N449">
        <f t="shared" si="60"/>
        <v>0</v>
      </c>
      <c r="O449">
        <f t="shared" si="61"/>
        <v>0</v>
      </c>
      <c r="P449">
        <f t="shared" si="62"/>
        <v>1394.6471000075096</v>
      </c>
      <c r="Q449">
        <f>Q448+(Q448*E449/100)</f>
        <v>1582.0001474441844</v>
      </c>
    </row>
    <row r="450" spans="1:17" x14ac:dyDescent="0.25">
      <c r="A450" s="1">
        <v>45734</v>
      </c>
      <c r="B450">
        <v>-1.65998824708565</v>
      </c>
      <c r="C450">
        <v>8.6896629775545797E-2</v>
      </c>
      <c r="D450">
        <v>-0.28908105564256997</v>
      </c>
      <c r="E450">
        <v>1.65562839337334</v>
      </c>
      <c r="F450" s="3">
        <v>8.0315943646695101E-2</v>
      </c>
      <c r="G450">
        <f t="shared" ref="G450:G513" si="65">E451</f>
        <v>-0.175394095468239</v>
      </c>
      <c r="H450" t="str">
        <f>IF(F450&gt;$T$2,"buy",IF(F450&lt;0,"sell","keep"))</f>
        <v>keep</v>
      </c>
      <c r="I450" t="str">
        <f t="shared" si="58"/>
        <v>sell</v>
      </c>
      <c r="J450">
        <f t="shared" ref="J450:J513" si="66">IF(OR(AND(F450&lt;0,G450&lt;0),AND(F450&gt;0,G450&gt;0)),1,0)</f>
        <v>0</v>
      </c>
      <c r="K450" t="str">
        <f t="shared" si="59"/>
        <v>sell</v>
      </c>
      <c r="L450">
        <f t="shared" si="63"/>
        <v>0</v>
      </c>
      <c r="M450">
        <f t="shared" si="64"/>
        <v>1</v>
      </c>
      <c r="N450">
        <f t="shared" si="60"/>
        <v>0</v>
      </c>
      <c r="O450">
        <f t="shared" si="61"/>
        <v>1417.7372733825919</v>
      </c>
      <c r="P450">
        <f t="shared" si="62"/>
        <v>0</v>
      </c>
      <c r="Q450">
        <f>Q449+(Q449*E450/100)</f>
        <v>1608.1921910684785</v>
      </c>
    </row>
    <row r="451" spans="1:17" x14ac:dyDescent="0.25">
      <c r="A451" s="1">
        <v>45735</v>
      </c>
      <c r="B451">
        <v>1.3000878153231801</v>
      </c>
      <c r="C451">
        <v>-0.20836816785821899</v>
      </c>
      <c r="D451">
        <v>-0.74818655799596601</v>
      </c>
      <c r="E451">
        <v>-0.175394095468239</v>
      </c>
      <c r="F451" s="3">
        <v>3.1077347346276599E-2</v>
      </c>
      <c r="G451">
        <f t="shared" si="65"/>
        <v>-0.50200935888443599</v>
      </c>
      <c r="H451" t="str">
        <f>IF(F451&gt;$T$2,"buy",IF(F451&lt;0,"sell","keep"))</f>
        <v>keep</v>
      </c>
      <c r="I451" t="str">
        <f t="shared" ref="I451:I514" si="67">IF(F451&gt;$T$2,"buy",IF(F451&lt;$T$3,"sell","keep"))</f>
        <v>sell</v>
      </c>
      <c r="J451">
        <f t="shared" si="66"/>
        <v>0</v>
      </c>
      <c r="K451" t="str">
        <f t="shared" ref="K451:K514" si="68">IF(AND(I451="sell",P450&lt;&gt;0),"sell",IF(AND(I451="buy",O450&lt;&gt;0),"buy","keep"))</f>
        <v>keep</v>
      </c>
      <c r="L451">
        <f t="shared" si="63"/>
        <v>0</v>
      </c>
      <c r="M451">
        <f t="shared" si="64"/>
        <v>0</v>
      </c>
      <c r="N451">
        <f t="shared" ref="N451:N514" si="69">IF(AND(J451=1,OR(L451=1,M451=1)),1,0)</f>
        <v>0</v>
      </c>
      <c r="O451">
        <f t="shared" si="61"/>
        <v>1417.7372733825919</v>
      </c>
      <c r="P451">
        <f t="shared" si="62"/>
        <v>0</v>
      </c>
      <c r="Q451">
        <f>Q450+(Q450*E451/100)</f>
        <v>1605.3715169215629</v>
      </c>
    </row>
    <row r="452" spans="1:17" x14ac:dyDescent="0.25">
      <c r="A452" s="1">
        <v>45736</v>
      </c>
      <c r="B452">
        <v>-0.29919338318900002</v>
      </c>
      <c r="C452">
        <v>-0.43501905760420201</v>
      </c>
      <c r="D452">
        <v>-0.13663450541006</v>
      </c>
      <c r="E452">
        <v>-0.50200935888443599</v>
      </c>
      <c r="F452" s="3">
        <v>1.1509594555252399E-2</v>
      </c>
      <c r="G452">
        <f t="shared" si="65"/>
        <v>-0.32795344902137802</v>
      </c>
      <c r="H452" t="str">
        <f>IF(F452&gt;$T$2,"buy",IF(F452&lt;0,"sell","keep"))</f>
        <v>keep</v>
      </c>
      <c r="I452" t="str">
        <f t="shared" si="67"/>
        <v>sell</v>
      </c>
      <c r="J452">
        <f t="shared" si="66"/>
        <v>0</v>
      </c>
      <c r="K452" t="str">
        <f t="shared" si="68"/>
        <v>keep</v>
      </c>
      <c r="L452">
        <f t="shared" si="63"/>
        <v>0</v>
      </c>
      <c r="M452">
        <f t="shared" si="64"/>
        <v>0</v>
      </c>
      <c r="N452">
        <f t="shared" si="69"/>
        <v>0</v>
      </c>
      <c r="O452">
        <f t="shared" ref="O452:O515" si="70">IF(K452="sell",P451+(P451*E452/100),IF(K452="buy",0,O451))</f>
        <v>1417.7372733825919</v>
      </c>
      <c r="P452">
        <f t="shared" ref="P452:P515" si="71">IF(K452="buy",O451,IF(K452="sell",0,IF(AND(K452="keep",P451&lt;&gt;0),P451+(P451*E451/100),P451)))</f>
        <v>0</v>
      </c>
      <c r="Q452">
        <f>Q451+(Q451*E452/100)</f>
        <v>1597.3124016617517</v>
      </c>
    </row>
    <row r="453" spans="1:17" x14ac:dyDescent="0.25">
      <c r="A453" s="1">
        <v>45737</v>
      </c>
      <c r="B453">
        <v>0.38806201845848998</v>
      </c>
      <c r="C453">
        <v>0.126703425362961</v>
      </c>
      <c r="D453">
        <v>-0.91998270256628001</v>
      </c>
      <c r="E453">
        <v>-0.32795344902137802</v>
      </c>
      <c r="F453" s="3">
        <v>6.6405123221391901E-2</v>
      </c>
      <c r="G453">
        <f t="shared" si="65"/>
        <v>0.17717996506445499</v>
      </c>
      <c r="H453" t="str">
        <f>IF(F453&gt;$T$2,"buy",IF(F453&lt;0,"sell","keep"))</f>
        <v>keep</v>
      </c>
      <c r="I453" t="str">
        <f t="shared" si="67"/>
        <v>sell</v>
      </c>
      <c r="J453">
        <f t="shared" si="66"/>
        <v>1</v>
      </c>
      <c r="K453" t="str">
        <f t="shared" si="68"/>
        <v>keep</v>
      </c>
      <c r="L453">
        <f t="shared" si="63"/>
        <v>0</v>
      </c>
      <c r="M453">
        <f t="shared" si="64"/>
        <v>0</v>
      </c>
      <c r="N453">
        <f t="shared" si="69"/>
        <v>0</v>
      </c>
      <c r="O453">
        <f t="shared" si="70"/>
        <v>1417.7372733825919</v>
      </c>
      <c r="P453">
        <f t="shared" si="71"/>
        <v>0</v>
      </c>
      <c r="Q453">
        <f>Q452+(Q452*E453/100)</f>
        <v>1592.0739605488557</v>
      </c>
    </row>
    <row r="454" spans="1:17" x14ac:dyDescent="0.25">
      <c r="A454" s="1">
        <v>45740</v>
      </c>
      <c r="B454">
        <v>2.1589508359326</v>
      </c>
      <c r="C454">
        <v>0.165814156994015</v>
      </c>
      <c r="D454">
        <v>-0.39997756166655302</v>
      </c>
      <c r="E454">
        <v>0.17717996506445499</v>
      </c>
      <c r="F454" s="3">
        <v>0.112654425442371</v>
      </c>
      <c r="G454">
        <f t="shared" si="65"/>
        <v>1.41485151390046</v>
      </c>
      <c r="H454" t="str">
        <f>IF(F454&gt;$T$2,"buy",IF(F454&lt;0,"sell","keep"))</f>
        <v>keep</v>
      </c>
      <c r="I454" t="str">
        <f t="shared" si="67"/>
        <v>sell</v>
      </c>
      <c r="J454">
        <f t="shared" si="66"/>
        <v>1</v>
      </c>
      <c r="K454" t="str">
        <f t="shared" si="68"/>
        <v>keep</v>
      </c>
      <c r="L454">
        <f t="shared" si="63"/>
        <v>0</v>
      </c>
      <c r="M454">
        <f t="shared" si="64"/>
        <v>0</v>
      </c>
      <c r="N454">
        <f t="shared" si="69"/>
        <v>0</v>
      </c>
      <c r="O454">
        <f t="shared" si="70"/>
        <v>1417.7372733825919</v>
      </c>
      <c r="P454">
        <f t="shared" si="71"/>
        <v>0</v>
      </c>
      <c r="Q454">
        <f>Q453+(Q453*E454/100)</f>
        <v>1594.8947966359565</v>
      </c>
    </row>
    <row r="455" spans="1:17" x14ac:dyDescent="0.25">
      <c r="A455" s="1">
        <v>45741</v>
      </c>
      <c r="B455">
        <v>0.53210341460203603</v>
      </c>
      <c r="C455">
        <v>-0.35721894699339801</v>
      </c>
      <c r="D455">
        <v>-3.7433705836751399</v>
      </c>
      <c r="E455">
        <v>1.41485151390046</v>
      </c>
      <c r="F455" s="3">
        <v>-0.15041335913232001</v>
      </c>
      <c r="G455">
        <f t="shared" si="65"/>
        <v>-0.19929895945238699</v>
      </c>
      <c r="H455" t="str">
        <f>IF(F455&gt;$T$2,"buy",IF(F455&lt;0,"sell","keep"))</f>
        <v>sell</v>
      </c>
      <c r="I455" t="str">
        <f t="shared" si="67"/>
        <v>sell</v>
      </c>
      <c r="J455">
        <f t="shared" si="66"/>
        <v>1</v>
      </c>
      <c r="K455" t="str">
        <f t="shared" si="68"/>
        <v>keep</v>
      </c>
      <c r="L455">
        <f t="shared" si="63"/>
        <v>0</v>
      </c>
      <c r="M455">
        <f t="shared" si="64"/>
        <v>0</v>
      </c>
      <c r="N455">
        <f t="shared" si="69"/>
        <v>0</v>
      </c>
      <c r="O455">
        <f t="shared" si="70"/>
        <v>1417.7372733825919</v>
      </c>
      <c r="P455">
        <f t="shared" si="71"/>
        <v>0</v>
      </c>
      <c r="Q455">
        <f>Q454+(Q454*E455/100)</f>
        <v>1617.4601898112801</v>
      </c>
    </row>
    <row r="456" spans="1:17" x14ac:dyDescent="0.25">
      <c r="A456" s="1">
        <v>45742</v>
      </c>
      <c r="B456">
        <v>-1.82789308823052</v>
      </c>
      <c r="C456">
        <v>0.87003920375236998</v>
      </c>
      <c r="D456">
        <v>-1.9864112551193299E-2</v>
      </c>
      <c r="E456">
        <v>-0.19929895945238699</v>
      </c>
      <c r="F456" s="3">
        <v>0.21048212622648299</v>
      </c>
      <c r="G456">
        <f t="shared" si="65"/>
        <v>9.9838444703226295E-2</v>
      </c>
      <c r="H456" t="str">
        <f>IF(F456&gt;$T$2,"buy",IF(F456&lt;0,"sell","keep"))</f>
        <v>buy</v>
      </c>
      <c r="I456" t="str">
        <f t="shared" si="67"/>
        <v>buy</v>
      </c>
      <c r="J456">
        <f t="shared" si="66"/>
        <v>1</v>
      </c>
      <c r="K456" t="str">
        <f t="shared" si="68"/>
        <v>buy</v>
      </c>
      <c r="L456">
        <f t="shared" si="63"/>
        <v>1</v>
      </c>
      <c r="M456">
        <f t="shared" si="64"/>
        <v>0</v>
      </c>
      <c r="N456">
        <f t="shared" si="69"/>
        <v>1</v>
      </c>
      <c r="O456">
        <f t="shared" si="70"/>
        <v>0</v>
      </c>
      <c r="P456">
        <f t="shared" si="71"/>
        <v>1417.7372733825919</v>
      </c>
      <c r="Q456">
        <f>Q455+(Q455*E456/100)</f>
        <v>1614.2366084834296</v>
      </c>
    </row>
    <row r="457" spans="1:17" x14ac:dyDescent="0.25">
      <c r="A457" s="1">
        <v>45743</v>
      </c>
      <c r="B457">
        <v>-0.594322196060037</v>
      </c>
      <c r="C457">
        <v>0.71516376590876596</v>
      </c>
      <c r="D457">
        <v>0.70541011324949299</v>
      </c>
      <c r="E457">
        <v>9.9838444703226295E-2</v>
      </c>
      <c r="F457" s="3">
        <v>0.23697368378161399</v>
      </c>
      <c r="G457">
        <f t="shared" si="65"/>
        <v>-0.27430192815113202</v>
      </c>
      <c r="H457" t="str">
        <f>IF(F457&gt;$T$2,"buy",IF(F457&lt;0,"sell","keep"))</f>
        <v>buy</v>
      </c>
      <c r="I457" t="str">
        <f t="shared" si="67"/>
        <v>buy</v>
      </c>
      <c r="J457">
        <f t="shared" si="66"/>
        <v>0</v>
      </c>
      <c r="K457" t="str">
        <f t="shared" si="68"/>
        <v>keep</v>
      </c>
      <c r="L457">
        <f t="shared" si="63"/>
        <v>0</v>
      </c>
      <c r="M457">
        <f t="shared" si="64"/>
        <v>0</v>
      </c>
      <c r="N457">
        <f t="shared" si="69"/>
        <v>0</v>
      </c>
      <c r="O457">
        <f t="shared" si="70"/>
        <v>0</v>
      </c>
      <c r="P457">
        <f t="shared" si="71"/>
        <v>1414.9117377489717</v>
      </c>
      <c r="Q457">
        <f>Q456+(Q456*E457/100)</f>
        <v>1615.8482372071696</v>
      </c>
    </row>
    <row r="458" spans="1:17" x14ac:dyDescent="0.25">
      <c r="A458" s="1">
        <v>45744</v>
      </c>
      <c r="B458">
        <v>-2.6123980987073598</v>
      </c>
      <c r="C458">
        <v>-1.2093070396586001</v>
      </c>
      <c r="D458">
        <v>1.26775230534719</v>
      </c>
      <c r="E458">
        <v>-0.27430192815113202</v>
      </c>
      <c r="F458" s="3">
        <v>-7.1109226325824906E-2</v>
      </c>
      <c r="G458">
        <f t="shared" si="65"/>
        <v>-1.4753656180086501</v>
      </c>
      <c r="H458" t="str">
        <f>IF(F458&gt;$T$2,"buy",IF(F458&lt;0,"sell","keep"))</f>
        <v>sell</v>
      </c>
      <c r="I458" t="str">
        <f t="shared" si="67"/>
        <v>sell</v>
      </c>
      <c r="J458">
        <f t="shared" si="66"/>
        <v>1</v>
      </c>
      <c r="K458" t="str">
        <f t="shared" si="68"/>
        <v>sell</v>
      </c>
      <c r="L458">
        <f t="shared" si="63"/>
        <v>0</v>
      </c>
      <c r="M458">
        <f t="shared" si="64"/>
        <v>1</v>
      </c>
      <c r="N458">
        <f t="shared" si="69"/>
        <v>1</v>
      </c>
      <c r="O458">
        <f t="shared" si="70"/>
        <v>1411.0306075706897</v>
      </c>
      <c r="P458">
        <f t="shared" si="71"/>
        <v>0</v>
      </c>
      <c r="Q458">
        <f>Q457+(Q457*E458/100)</f>
        <v>1611.4159343365143</v>
      </c>
    </row>
    <row r="459" spans="1:17" x14ac:dyDescent="0.25">
      <c r="A459" s="1">
        <v>45747</v>
      </c>
      <c r="B459">
        <v>-1.5305796338505E-2</v>
      </c>
      <c r="C459">
        <v>1.42232087057152</v>
      </c>
      <c r="D459">
        <v>2.0605189777284001</v>
      </c>
      <c r="E459">
        <v>-1.4753656180086501</v>
      </c>
      <c r="F459" s="3">
        <v>0.42111000594103198</v>
      </c>
      <c r="G459">
        <f t="shared" si="65"/>
        <v>1.5228363228139099</v>
      </c>
      <c r="H459" t="str">
        <f>IF(F459&gt;$T$2,"buy",IF(F459&lt;0,"sell","keep"))</f>
        <v>buy</v>
      </c>
      <c r="I459" t="str">
        <f t="shared" si="67"/>
        <v>buy</v>
      </c>
      <c r="J459">
        <f t="shared" si="66"/>
        <v>1</v>
      </c>
      <c r="K459" t="str">
        <f t="shared" si="68"/>
        <v>buy</v>
      </c>
      <c r="L459">
        <f t="shared" si="63"/>
        <v>1</v>
      </c>
      <c r="M459">
        <f t="shared" si="64"/>
        <v>0</v>
      </c>
      <c r="N459">
        <f t="shared" si="69"/>
        <v>1</v>
      </c>
      <c r="O459">
        <f t="shared" si="70"/>
        <v>0</v>
      </c>
      <c r="P459">
        <f t="shared" si="71"/>
        <v>1411.0306075706897</v>
      </c>
      <c r="Q459">
        <f>Q458+(Q458*E459/100)</f>
        <v>1587.6416576782005</v>
      </c>
    </row>
    <row r="460" spans="1:17" x14ac:dyDescent="0.25">
      <c r="A460" s="1">
        <v>45748</v>
      </c>
      <c r="B460">
        <v>0.81941602943540404</v>
      </c>
      <c r="C460">
        <v>0.31139459404207998</v>
      </c>
      <c r="D460">
        <v>-1.5511732102270099</v>
      </c>
      <c r="E460">
        <v>1.5228363228139099</v>
      </c>
      <c r="F460" s="3">
        <v>7.6478670367597507E-2</v>
      </c>
      <c r="G460">
        <f t="shared" si="65"/>
        <v>1.00000261223203</v>
      </c>
      <c r="H460" t="str">
        <f>IF(F460&gt;$T$2,"buy",IF(F460&lt;0,"sell","keep"))</f>
        <v>keep</v>
      </c>
      <c r="I460" t="str">
        <f t="shared" si="67"/>
        <v>sell</v>
      </c>
      <c r="J460">
        <f t="shared" si="66"/>
        <v>1</v>
      </c>
      <c r="K460" t="str">
        <f t="shared" si="68"/>
        <v>sell</v>
      </c>
      <c r="L460">
        <f t="shared" si="63"/>
        <v>0</v>
      </c>
      <c r="M460">
        <f t="shared" si="64"/>
        <v>1</v>
      </c>
      <c r="N460">
        <f t="shared" si="69"/>
        <v>1</v>
      </c>
      <c r="O460">
        <f t="shared" si="70"/>
        <v>1432.5182941887979</v>
      </c>
      <c r="P460">
        <f t="shared" si="71"/>
        <v>0</v>
      </c>
      <c r="Q460">
        <f>Q459+(Q459*E460/100)</f>
        <v>1611.8188415174491</v>
      </c>
    </row>
    <row r="461" spans="1:17" x14ac:dyDescent="0.25">
      <c r="A461" s="1">
        <v>45749</v>
      </c>
      <c r="B461">
        <v>0.74787113873993005</v>
      </c>
      <c r="C461">
        <v>0.56734701716156799</v>
      </c>
      <c r="D461">
        <v>-0.52358879051157503</v>
      </c>
      <c r="E461">
        <v>1.00000261223203</v>
      </c>
      <c r="F461" s="3">
        <v>0.17435797585103899</v>
      </c>
      <c r="G461">
        <f t="shared" si="65"/>
        <v>-1.6584191361012599</v>
      </c>
      <c r="H461" t="str">
        <f>IF(F461&gt;$T$2,"buy",IF(F461&lt;0,"sell","keep"))</f>
        <v>buy</v>
      </c>
      <c r="I461" t="str">
        <f t="shared" si="67"/>
        <v>buy</v>
      </c>
      <c r="J461">
        <f t="shared" si="66"/>
        <v>0</v>
      </c>
      <c r="K461" t="str">
        <f t="shared" si="68"/>
        <v>buy</v>
      </c>
      <c r="L461">
        <f t="shared" si="63"/>
        <v>1</v>
      </c>
      <c r="M461">
        <f t="shared" si="64"/>
        <v>0</v>
      </c>
      <c r="N461">
        <f t="shared" si="69"/>
        <v>0</v>
      </c>
      <c r="O461">
        <f t="shared" si="70"/>
        <v>0</v>
      </c>
      <c r="P461">
        <f t="shared" si="71"/>
        <v>1432.5182941887979</v>
      </c>
      <c r="Q461">
        <f>Q460+(Q460*E461/100)</f>
        <v>1627.9370720370716</v>
      </c>
    </row>
    <row r="462" spans="1:17" x14ac:dyDescent="0.25">
      <c r="A462" s="1">
        <v>45750</v>
      </c>
      <c r="B462">
        <v>-5.4147714447951696</v>
      </c>
      <c r="C462">
        <v>-0.53646663974817799</v>
      </c>
      <c r="D462">
        <v>-1.73010005636826</v>
      </c>
      <c r="E462">
        <v>-1.6584191361012599</v>
      </c>
      <c r="F462" s="3">
        <v>-0.18176819772773201</v>
      </c>
      <c r="G462">
        <f t="shared" si="65"/>
        <v>-5.4367038607160101</v>
      </c>
      <c r="H462" t="str">
        <f>IF(F462&gt;$T$2,"buy",IF(F462&lt;0,"sell","keep"))</f>
        <v>sell</v>
      </c>
      <c r="I462" t="str">
        <f t="shared" si="67"/>
        <v>sell</v>
      </c>
      <c r="J462">
        <f t="shared" si="66"/>
        <v>1</v>
      </c>
      <c r="K462" t="str">
        <f t="shared" si="68"/>
        <v>sell</v>
      </c>
      <c r="L462">
        <f t="shared" si="63"/>
        <v>0</v>
      </c>
      <c r="M462">
        <f t="shared" si="64"/>
        <v>1</v>
      </c>
      <c r="N462">
        <f t="shared" si="69"/>
        <v>1</v>
      </c>
      <c r="O462">
        <f t="shared" si="70"/>
        <v>1408.7611366698195</v>
      </c>
      <c r="P462">
        <f t="shared" si="71"/>
        <v>0</v>
      </c>
      <c r="Q462">
        <f>Q461+(Q461*E462/100)</f>
        <v>1600.9390521107223</v>
      </c>
    </row>
    <row r="463" spans="1:17" x14ac:dyDescent="0.25">
      <c r="A463" s="1">
        <v>45751</v>
      </c>
      <c r="B463">
        <v>-6.0673987632385602</v>
      </c>
      <c r="C463">
        <v>-6.2625747607566602</v>
      </c>
      <c r="D463">
        <v>-7.2802996144540399</v>
      </c>
      <c r="E463">
        <v>-5.4367038607160101</v>
      </c>
      <c r="F463" s="3">
        <v>-1.7355267236256</v>
      </c>
      <c r="G463">
        <f t="shared" si="65"/>
        <v>-6.3348436618509902</v>
      </c>
      <c r="H463" t="str">
        <f>IF(F463&gt;$T$2,"buy",IF(F463&lt;0,"sell","keep"))</f>
        <v>sell</v>
      </c>
      <c r="I463" t="str">
        <f t="shared" si="67"/>
        <v>sell</v>
      </c>
      <c r="J463">
        <f t="shared" si="66"/>
        <v>1</v>
      </c>
      <c r="K463" t="str">
        <f t="shared" si="68"/>
        <v>keep</v>
      </c>
      <c r="L463">
        <f t="shared" si="63"/>
        <v>0</v>
      </c>
      <c r="M463">
        <f t="shared" si="64"/>
        <v>0</v>
      </c>
      <c r="N463">
        <f t="shared" si="69"/>
        <v>0</v>
      </c>
      <c r="O463">
        <f t="shared" si="70"/>
        <v>1408.7611366698195</v>
      </c>
      <c r="P463">
        <f t="shared" si="71"/>
        <v>0</v>
      </c>
      <c r="Q463">
        <f>Q462+(Q462*E463/100)</f>
        <v>1513.9007368569082</v>
      </c>
    </row>
    <row r="464" spans="1:17" x14ac:dyDescent="0.25">
      <c r="A464" s="1">
        <v>45754</v>
      </c>
      <c r="B464">
        <v>0.18956799019984499</v>
      </c>
      <c r="C464">
        <v>-2.7628163438825899</v>
      </c>
      <c r="D464">
        <v>-0.21930129786586999</v>
      </c>
      <c r="E464">
        <v>-6.3348436618509902</v>
      </c>
      <c r="F464" s="3">
        <v>-0.45900426500558</v>
      </c>
      <c r="G464">
        <f t="shared" si="65"/>
        <v>3.5237355852423402</v>
      </c>
      <c r="H464" t="str">
        <f>IF(F464&gt;$T$2,"buy",IF(F464&lt;0,"sell","keep"))</f>
        <v>sell</v>
      </c>
      <c r="I464" t="str">
        <f t="shared" si="67"/>
        <v>sell</v>
      </c>
      <c r="J464">
        <f t="shared" si="66"/>
        <v>0</v>
      </c>
      <c r="K464" t="str">
        <f t="shared" si="68"/>
        <v>keep</v>
      </c>
      <c r="L464">
        <f t="shared" si="63"/>
        <v>0</v>
      </c>
      <c r="M464">
        <f t="shared" si="64"/>
        <v>0</v>
      </c>
      <c r="N464">
        <f t="shared" si="69"/>
        <v>0</v>
      </c>
      <c r="O464">
        <f t="shared" si="70"/>
        <v>1408.7611366698195</v>
      </c>
      <c r="P464">
        <f t="shared" si="71"/>
        <v>0</v>
      </c>
      <c r="Q464">
        <f>Q463+(Q463*E464/100)</f>
        <v>1417.9974919814128</v>
      </c>
    </row>
    <row r="465" spans="1:17" x14ac:dyDescent="0.25">
      <c r="A465" s="1">
        <v>45755</v>
      </c>
      <c r="B465">
        <v>-1.95218604767903</v>
      </c>
      <c r="C465">
        <v>-2.9422786313158902</v>
      </c>
      <c r="D465">
        <v>-5.8322205948554</v>
      </c>
      <c r="E465">
        <v>3.5237355852423402</v>
      </c>
      <c r="F465" s="3">
        <v>-1.1646512828922699</v>
      </c>
      <c r="G465">
        <f t="shared" si="65"/>
        <v>-2.8822419955403502</v>
      </c>
      <c r="H465" t="str">
        <f>IF(F465&gt;$T$2,"buy",IF(F465&lt;0,"sell","keep"))</f>
        <v>sell</v>
      </c>
      <c r="I465" t="str">
        <f t="shared" si="67"/>
        <v>sell</v>
      </c>
      <c r="J465">
        <f t="shared" si="66"/>
        <v>1</v>
      </c>
      <c r="K465" t="str">
        <f t="shared" si="68"/>
        <v>keep</v>
      </c>
      <c r="L465">
        <f t="shared" si="63"/>
        <v>0</v>
      </c>
      <c r="M465">
        <f t="shared" si="64"/>
        <v>0</v>
      </c>
      <c r="N465">
        <f t="shared" si="69"/>
        <v>0</v>
      </c>
      <c r="O465">
        <f t="shared" si="70"/>
        <v>1408.7611366698195</v>
      </c>
      <c r="P465">
        <f t="shared" si="71"/>
        <v>0</v>
      </c>
      <c r="Q465">
        <f>Q464+(Q464*E465/100)</f>
        <v>1467.9639742042059</v>
      </c>
    </row>
    <row r="466" spans="1:17" x14ac:dyDescent="0.25">
      <c r="A466" s="1">
        <v>45756</v>
      </c>
      <c r="B466">
        <v>12.022305559190301</v>
      </c>
      <c r="C466">
        <v>7.8968395727229304</v>
      </c>
      <c r="D466">
        <v>2.3737781258629398</v>
      </c>
      <c r="E466">
        <v>-2.8822419955403502</v>
      </c>
      <c r="F466" s="3">
        <v>2.9058259117650298</v>
      </c>
      <c r="G466">
        <f t="shared" si="65"/>
        <v>5.1441560946441998</v>
      </c>
      <c r="H466" t="str">
        <f>IF(F466&gt;$T$2,"buy",IF(F466&lt;0,"sell","keep"))</f>
        <v>buy</v>
      </c>
      <c r="I466" t="str">
        <f t="shared" si="67"/>
        <v>buy</v>
      </c>
      <c r="J466">
        <f t="shared" si="66"/>
        <v>1</v>
      </c>
      <c r="K466" t="str">
        <f t="shared" si="68"/>
        <v>buy</v>
      </c>
      <c r="L466">
        <f t="shared" si="63"/>
        <v>1</v>
      </c>
      <c r="M466">
        <f t="shared" si="64"/>
        <v>0</v>
      </c>
      <c r="N466">
        <f t="shared" si="69"/>
        <v>1</v>
      </c>
      <c r="O466">
        <f t="shared" si="70"/>
        <v>0</v>
      </c>
      <c r="P466">
        <f t="shared" si="71"/>
        <v>1408.7611366698195</v>
      </c>
      <c r="Q466">
        <f>Q465+(Q465*E466/100)</f>
        <v>1425.6537000602891</v>
      </c>
    </row>
    <row r="467" spans="1:17" x14ac:dyDescent="0.25">
      <c r="A467" s="1">
        <v>45757</v>
      </c>
      <c r="B467">
        <v>-4.1864074151796</v>
      </c>
      <c r="C467">
        <v>-3.1594012727019298</v>
      </c>
      <c r="D467">
        <v>-3.1361205361323901</v>
      </c>
      <c r="E467">
        <v>5.1441560946441998</v>
      </c>
      <c r="F467" s="3">
        <v>-1.4020216212596399</v>
      </c>
      <c r="G467">
        <f t="shared" si="65"/>
        <v>-0.188171450573071</v>
      </c>
      <c r="H467" t="str">
        <f>IF(F467&gt;$T$2,"buy",IF(F467&lt;0,"sell","keep"))</f>
        <v>sell</v>
      </c>
      <c r="I467" t="str">
        <f t="shared" si="67"/>
        <v>sell</v>
      </c>
      <c r="J467">
        <f t="shared" si="66"/>
        <v>1</v>
      </c>
      <c r="K467" t="str">
        <f t="shared" si="68"/>
        <v>sell</v>
      </c>
      <c r="L467">
        <f t="shared" si="63"/>
        <v>0</v>
      </c>
      <c r="M467">
        <f t="shared" si="64"/>
        <v>1</v>
      </c>
      <c r="N467">
        <f t="shared" si="69"/>
        <v>1</v>
      </c>
      <c r="O467">
        <f t="shared" si="70"/>
        <v>1481.230008540799</v>
      </c>
      <c r="P467">
        <f t="shared" si="71"/>
        <v>0</v>
      </c>
      <c r="Q467">
        <f>Q466+(Q466*E467/100)</f>
        <v>1498.9915517604611</v>
      </c>
    </row>
    <row r="468" spans="1:17" x14ac:dyDescent="0.25">
      <c r="A468" s="1">
        <v>45758</v>
      </c>
      <c r="B468">
        <v>1.8888387748261499</v>
      </c>
      <c r="C468">
        <v>2.30388107350523</v>
      </c>
      <c r="D468">
        <v>0.48793996936036199</v>
      </c>
      <c r="E468">
        <v>-0.188171450573071</v>
      </c>
      <c r="F468" s="3">
        <v>0.765544815952237</v>
      </c>
      <c r="G468">
        <f t="shared" si="65"/>
        <v>2.61243762064302</v>
      </c>
      <c r="H468" t="str">
        <f>IF(F468&gt;$T$2,"buy",IF(F468&lt;0,"sell","keep"))</f>
        <v>buy</v>
      </c>
      <c r="I468" t="str">
        <f t="shared" si="67"/>
        <v>buy</v>
      </c>
      <c r="J468">
        <f t="shared" si="66"/>
        <v>1</v>
      </c>
      <c r="K468" t="str">
        <f t="shared" si="68"/>
        <v>buy</v>
      </c>
      <c r="L468">
        <f t="shared" si="63"/>
        <v>1</v>
      </c>
      <c r="M468">
        <f t="shared" si="64"/>
        <v>0</v>
      </c>
      <c r="N468">
        <f t="shared" si="69"/>
        <v>1</v>
      </c>
      <c r="O468">
        <f t="shared" si="70"/>
        <v>0</v>
      </c>
      <c r="P468">
        <f t="shared" si="71"/>
        <v>1481.230008540799</v>
      </c>
      <c r="Q468">
        <f>Q467+(Q467*E468/100)</f>
        <v>1496.1708776135456</v>
      </c>
    </row>
    <row r="469" spans="1:17" x14ac:dyDescent="0.25">
      <c r="A469" s="1">
        <v>45761</v>
      </c>
      <c r="B469">
        <v>0.56697946538650701</v>
      </c>
      <c r="C469">
        <v>0.95059123286276304</v>
      </c>
      <c r="D469">
        <v>2.3136343132166499</v>
      </c>
      <c r="E469">
        <v>2.61243762064302</v>
      </c>
      <c r="F469" s="3">
        <v>0.55215003437835797</v>
      </c>
      <c r="G469">
        <f t="shared" si="65"/>
        <v>2.0472452738798399</v>
      </c>
      <c r="H469" t="str">
        <f>IF(F469&gt;$T$2,"buy",IF(F469&lt;0,"sell","keep"))</f>
        <v>buy</v>
      </c>
      <c r="I469" t="str">
        <f t="shared" si="67"/>
        <v>buy</v>
      </c>
      <c r="J469">
        <f t="shared" si="66"/>
        <v>1</v>
      </c>
      <c r="K469" t="str">
        <f t="shared" si="68"/>
        <v>keep</v>
      </c>
      <c r="L469">
        <f t="shared" si="63"/>
        <v>0</v>
      </c>
      <c r="M469">
        <f t="shared" si="64"/>
        <v>0</v>
      </c>
      <c r="N469">
        <f t="shared" si="69"/>
        <v>0</v>
      </c>
      <c r="O469">
        <f t="shared" si="70"/>
        <v>0</v>
      </c>
      <c r="P469">
        <f t="shared" si="71"/>
        <v>1478.4427565474041</v>
      </c>
      <c r="Q469">
        <f>Q468+(Q468*E469/100)</f>
        <v>1535.2574084894268</v>
      </c>
    </row>
    <row r="470" spans="1:17" x14ac:dyDescent="0.25">
      <c r="A470" s="1">
        <v>45762</v>
      </c>
      <c r="B470">
        <v>0.182011608591503</v>
      </c>
      <c r="C470">
        <v>1.1075484288087301</v>
      </c>
      <c r="D470">
        <v>-0.37192698826138398</v>
      </c>
      <c r="E470">
        <v>2.0472452738798399</v>
      </c>
      <c r="F470" s="3">
        <v>0.25863832852734803</v>
      </c>
      <c r="G470">
        <f t="shared" si="65"/>
        <v>0.72016236523184596</v>
      </c>
      <c r="H470" t="str">
        <f>IF(F470&gt;$T$2,"buy",IF(F470&lt;0,"sell","keep"))</f>
        <v>buy</v>
      </c>
      <c r="I470" t="str">
        <f t="shared" si="67"/>
        <v>buy</v>
      </c>
      <c r="J470">
        <f t="shared" si="66"/>
        <v>1</v>
      </c>
      <c r="K470" t="str">
        <f t="shared" si="68"/>
        <v>keep</v>
      </c>
      <c r="L470">
        <f t="shared" si="63"/>
        <v>0</v>
      </c>
      <c r="M470">
        <f t="shared" si="64"/>
        <v>0</v>
      </c>
      <c r="N470">
        <f t="shared" si="69"/>
        <v>0</v>
      </c>
      <c r="O470">
        <f t="shared" si="70"/>
        <v>0</v>
      </c>
      <c r="P470">
        <f t="shared" si="71"/>
        <v>1517.0661513191201</v>
      </c>
      <c r="Q470">
        <f>Q469+(Q469*E470/100)</f>
        <v>1566.6878932266168</v>
      </c>
    </row>
    <row r="471" spans="1:17" x14ac:dyDescent="0.25">
      <c r="A471" s="1">
        <v>45763</v>
      </c>
      <c r="B471">
        <v>-3.04080103905393</v>
      </c>
      <c r="C471">
        <v>-0.66080001279589196</v>
      </c>
      <c r="D471">
        <v>-2.8959302093316901</v>
      </c>
      <c r="E471">
        <v>0.72016236523184596</v>
      </c>
      <c r="F471" s="3">
        <v>-0.75470250589120202</v>
      </c>
      <c r="G471">
        <f t="shared" si="65"/>
        <v>0.89376638738476399</v>
      </c>
      <c r="H471" t="str">
        <f>IF(F471&gt;$T$2,"buy",IF(F471&lt;0,"sell","keep"))</f>
        <v>sell</v>
      </c>
      <c r="I471" t="str">
        <f t="shared" si="67"/>
        <v>sell</v>
      </c>
      <c r="J471">
        <f t="shared" si="66"/>
        <v>0</v>
      </c>
      <c r="K471" t="str">
        <f t="shared" si="68"/>
        <v>sell</v>
      </c>
      <c r="L471">
        <f t="shared" si="63"/>
        <v>0</v>
      </c>
      <c r="M471">
        <f t="shared" si="64"/>
        <v>1</v>
      </c>
      <c r="N471">
        <f t="shared" si="69"/>
        <v>0</v>
      </c>
      <c r="O471">
        <f t="shared" si="70"/>
        <v>1527.9914907965915</v>
      </c>
      <c r="P471">
        <f t="shared" si="71"/>
        <v>0</v>
      </c>
      <c r="Q471">
        <f>Q470+(Q470*E471/100)</f>
        <v>1577.9705898142786</v>
      </c>
    </row>
    <row r="472" spans="1:17" x14ac:dyDescent="0.25">
      <c r="A472" s="1">
        <v>45764</v>
      </c>
      <c r="B472">
        <v>2.4604425030937999E-3</v>
      </c>
      <c r="C472">
        <v>0.92190073665359096</v>
      </c>
      <c r="D472">
        <v>0.76305417544475496</v>
      </c>
      <c r="E472">
        <v>0.89376638738476399</v>
      </c>
      <c r="F472" s="3">
        <v>0.32623990575349299</v>
      </c>
      <c r="G472">
        <f t="shared" si="65"/>
        <v>0.72428064000389303</v>
      </c>
      <c r="H472" t="str">
        <f>IF(F472&gt;$T$2,"buy",IF(F472&lt;0,"sell","keep"))</f>
        <v>buy</v>
      </c>
      <c r="I472" t="str">
        <f t="shared" si="67"/>
        <v>buy</v>
      </c>
      <c r="J472">
        <f t="shared" si="66"/>
        <v>1</v>
      </c>
      <c r="K472" t="str">
        <f t="shared" si="68"/>
        <v>buy</v>
      </c>
      <c r="L472">
        <f t="shared" si="63"/>
        <v>1</v>
      </c>
      <c r="M472">
        <f t="shared" si="64"/>
        <v>0</v>
      </c>
      <c r="N472">
        <f t="shared" si="69"/>
        <v>1</v>
      </c>
      <c r="O472">
        <f t="shared" si="70"/>
        <v>0</v>
      </c>
      <c r="P472">
        <f t="shared" si="71"/>
        <v>1527.9914907965915</v>
      </c>
      <c r="Q472">
        <f>Q471+(Q471*E472/100)</f>
        <v>1592.0739605488557</v>
      </c>
    </row>
    <row r="473" spans="1:17" x14ac:dyDescent="0.25">
      <c r="A473" s="1">
        <v>45770</v>
      </c>
      <c r="B473">
        <v>2.2808068204381402</v>
      </c>
      <c r="C473">
        <v>-1.40779221378034</v>
      </c>
      <c r="D473">
        <v>1.88169671739848</v>
      </c>
      <c r="E473">
        <v>0.72428064000389303</v>
      </c>
      <c r="F473" s="3">
        <v>0.28093115565637899</v>
      </c>
      <c r="G473">
        <f t="shared" si="65"/>
        <v>-0.247964981174431</v>
      </c>
      <c r="H473" t="str">
        <f>IF(F473&gt;$T$2,"buy",IF(F473&lt;0,"sell","keep"))</f>
        <v>buy</v>
      </c>
      <c r="I473" t="str">
        <f t="shared" si="67"/>
        <v>buy</v>
      </c>
      <c r="J473">
        <f t="shared" si="66"/>
        <v>0</v>
      </c>
      <c r="K473" t="str">
        <f t="shared" si="68"/>
        <v>keep</v>
      </c>
      <c r="L473">
        <f t="shared" si="63"/>
        <v>0</v>
      </c>
      <c r="M473">
        <f t="shared" si="64"/>
        <v>0</v>
      </c>
      <c r="N473">
        <f t="shared" si="69"/>
        <v>0</v>
      </c>
      <c r="O473">
        <f t="shared" si="70"/>
        <v>0</v>
      </c>
      <c r="P473">
        <f t="shared" si="71"/>
        <v>1541.6481651434308</v>
      </c>
      <c r="Q473">
        <f>Q472+(Q472*E473/100)</f>
        <v>1603.6050440196543</v>
      </c>
    </row>
    <row r="474" spans="1:17" x14ac:dyDescent="0.25">
      <c r="A474" s="1">
        <v>45771</v>
      </c>
      <c r="B474">
        <v>2.7878531167598801</v>
      </c>
      <c r="C474">
        <v>0.294501674844593</v>
      </c>
      <c r="D474">
        <v>1.8751680782073501</v>
      </c>
      <c r="E474">
        <v>-0.247964981174431</v>
      </c>
      <c r="F474" s="3">
        <v>0.65608765749664899</v>
      </c>
      <c r="G474">
        <f t="shared" si="65"/>
        <v>0.84514071559949</v>
      </c>
      <c r="H474" t="str">
        <f>IF(F474&gt;$T$2,"buy",IF(F474&lt;0,"sell","keep"))</f>
        <v>buy</v>
      </c>
      <c r="I474" t="str">
        <f t="shared" si="67"/>
        <v>buy</v>
      </c>
      <c r="J474">
        <f t="shared" si="66"/>
        <v>1</v>
      </c>
      <c r="K474" t="str">
        <f t="shared" si="68"/>
        <v>keep</v>
      </c>
      <c r="L474">
        <f t="shared" si="63"/>
        <v>0</v>
      </c>
      <c r="M474">
        <f t="shared" si="64"/>
        <v>0</v>
      </c>
      <c r="N474">
        <f t="shared" si="69"/>
        <v>0</v>
      </c>
      <c r="O474">
        <f t="shared" si="70"/>
        <v>0</v>
      </c>
      <c r="P474">
        <f t="shared" si="71"/>
        <v>1552.8140243405398</v>
      </c>
      <c r="Q474">
        <f>Q473+(Q473*E474/100)</f>
        <v>1599.6286650741388</v>
      </c>
    </row>
    <row r="475" spans="1:17" x14ac:dyDescent="0.25">
      <c r="A475" s="1">
        <v>45772</v>
      </c>
      <c r="B475">
        <v>1.13539924127137</v>
      </c>
      <c r="C475">
        <v>-0.25136844495938698</v>
      </c>
      <c r="D475">
        <v>3.1546287094595198</v>
      </c>
      <c r="E475">
        <v>0.84514071559949</v>
      </c>
      <c r="F475" s="3">
        <v>0.47772273579929603</v>
      </c>
      <c r="G475">
        <f t="shared" si="65"/>
        <v>0.91200540148266196</v>
      </c>
      <c r="H475" t="str">
        <f>IF(F475&gt;$T$2,"buy",IF(F475&lt;0,"sell","keep"))</f>
        <v>buy</v>
      </c>
      <c r="I475" t="str">
        <f t="shared" si="67"/>
        <v>buy</v>
      </c>
      <c r="J475">
        <f t="shared" si="66"/>
        <v>1</v>
      </c>
      <c r="K475" t="str">
        <f t="shared" si="68"/>
        <v>keep</v>
      </c>
      <c r="L475">
        <f t="shared" si="63"/>
        <v>0</v>
      </c>
      <c r="M475">
        <f t="shared" si="64"/>
        <v>0</v>
      </c>
      <c r="N475">
        <f t="shared" si="69"/>
        <v>0</v>
      </c>
      <c r="O475">
        <f t="shared" si="70"/>
        <v>0</v>
      </c>
      <c r="P475">
        <f t="shared" si="71"/>
        <v>1548.96358933741</v>
      </c>
      <c r="Q475">
        <f>Q474+(Q474*E475/100)</f>
        <v>1613.1477782210809</v>
      </c>
    </row>
    <row r="476" spans="1:17" x14ac:dyDescent="0.25">
      <c r="A476" s="1">
        <v>45775</v>
      </c>
      <c r="B476">
        <v>-2.7127070373888999E-2</v>
      </c>
      <c r="C476">
        <v>-8.9204698453260095E-2</v>
      </c>
      <c r="D476">
        <v>3.3752575400919298</v>
      </c>
      <c r="E476">
        <v>0.91200540148266196</v>
      </c>
      <c r="F476" s="3">
        <v>0.39428848111668902</v>
      </c>
      <c r="G476">
        <f t="shared" si="65"/>
        <v>0.92818614336032101</v>
      </c>
      <c r="H476" t="str">
        <f>IF(F476&gt;$T$2,"buy",IF(F476&lt;0,"sell","keep"))</f>
        <v>buy</v>
      </c>
      <c r="I476" t="str">
        <f t="shared" si="67"/>
        <v>buy</v>
      </c>
      <c r="J476">
        <f t="shared" si="66"/>
        <v>1</v>
      </c>
      <c r="K476" t="str">
        <f t="shared" si="68"/>
        <v>keep</v>
      </c>
      <c r="L476">
        <f t="shared" si="63"/>
        <v>0</v>
      </c>
      <c r="M476">
        <f t="shared" si="64"/>
        <v>0</v>
      </c>
      <c r="N476">
        <f t="shared" si="69"/>
        <v>0</v>
      </c>
      <c r="O476">
        <f t="shared" si="70"/>
        <v>0</v>
      </c>
      <c r="P476">
        <f t="shared" si="71"/>
        <v>1562.0545113007117</v>
      </c>
      <c r="Q476">
        <f>Q475+(Q475*E476/100)</f>
        <v>1627.8597730923548</v>
      </c>
    </row>
    <row r="477" spans="1:17" x14ac:dyDescent="0.25">
      <c r="A477" s="1">
        <v>45776</v>
      </c>
      <c r="B477">
        <v>0.60564372039490999</v>
      </c>
      <c r="C477">
        <v>0.575882644481717</v>
      </c>
      <c r="D477">
        <v>0.60829788706786503</v>
      </c>
      <c r="E477">
        <v>0.92818614336032101</v>
      </c>
      <c r="F477" s="3">
        <v>0.32422379903485599</v>
      </c>
      <c r="G477">
        <f t="shared" si="65"/>
        <v>0.60504036909330094</v>
      </c>
      <c r="H477" t="str">
        <f>IF(F477&gt;$T$2,"buy",IF(F477&lt;0,"sell","keep"))</f>
        <v>buy</v>
      </c>
      <c r="I477" t="str">
        <f t="shared" si="67"/>
        <v>buy</v>
      </c>
      <c r="J477">
        <f t="shared" si="66"/>
        <v>1</v>
      </c>
      <c r="K477" t="str">
        <f t="shared" si="68"/>
        <v>keep</v>
      </c>
      <c r="L477">
        <f t="shared" si="63"/>
        <v>0</v>
      </c>
      <c r="M477">
        <f t="shared" si="64"/>
        <v>0</v>
      </c>
      <c r="N477">
        <f t="shared" si="69"/>
        <v>0</v>
      </c>
      <c r="O477">
        <f t="shared" si="70"/>
        <v>0</v>
      </c>
      <c r="P477">
        <f t="shared" si="71"/>
        <v>1576.3005328178779</v>
      </c>
      <c r="Q477">
        <f>Q476+(Q476*E477/100)</f>
        <v>1642.9693419395348</v>
      </c>
    </row>
    <row r="478" spans="1:17" x14ac:dyDescent="0.25">
      <c r="A478" s="1">
        <v>45777</v>
      </c>
      <c r="B478">
        <v>0.13338644274905001</v>
      </c>
      <c r="C478">
        <v>0.58814241298408199</v>
      </c>
      <c r="D478">
        <v>0.82165623920451503</v>
      </c>
      <c r="E478">
        <v>0.60504036909330094</v>
      </c>
      <c r="F478" s="3">
        <v>0.29073572038887802</v>
      </c>
      <c r="G478">
        <f t="shared" si="65"/>
        <v>2.3643525406517201</v>
      </c>
      <c r="H478" t="str">
        <f>IF(F478&gt;$T$2,"buy",IF(F478&lt;0,"sell","keep"))</f>
        <v>buy</v>
      </c>
      <c r="I478" t="str">
        <f t="shared" si="67"/>
        <v>buy</v>
      </c>
      <c r="J478">
        <f t="shared" si="66"/>
        <v>1</v>
      </c>
      <c r="K478" t="str">
        <f t="shared" si="68"/>
        <v>keep</v>
      </c>
      <c r="L478">
        <f t="shared" si="63"/>
        <v>0</v>
      </c>
      <c r="M478">
        <f t="shared" si="64"/>
        <v>0</v>
      </c>
      <c r="N478">
        <f t="shared" si="69"/>
        <v>0</v>
      </c>
      <c r="O478">
        <f t="shared" si="70"/>
        <v>0</v>
      </c>
      <c r="P478">
        <f t="shared" si="71"/>
        <v>1590.9315359412083</v>
      </c>
      <c r="Q478">
        <f>Q477+(Q477*E478/100)</f>
        <v>1652.9099697100955</v>
      </c>
    </row>
    <row r="479" spans="1:17" x14ac:dyDescent="0.25">
      <c r="A479" s="1">
        <v>45782</v>
      </c>
      <c r="B479">
        <v>-0.66991264349233104</v>
      </c>
      <c r="C479">
        <v>-0.54072806030027698</v>
      </c>
      <c r="D479">
        <v>-1.2092533056883901</v>
      </c>
      <c r="E479">
        <v>2.3643525406517201</v>
      </c>
      <c r="F479" s="3">
        <v>-0.22844448100950199</v>
      </c>
      <c r="G479">
        <f t="shared" si="65"/>
        <v>-0.48626491063842298</v>
      </c>
      <c r="H479" t="str">
        <f>IF(F479&gt;$T$2,"buy",IF(F479&lt;0,"sell","keep"))</f>
        <v>sell</v>
      </c>
      <c r="I479" t="str">
        <f t="shared" si="67"/>
        <v>sell</v>
      </c>
      <c r="J479">
        <f t="shared" si="66"/>
        <v>1</v>
      </c>
      <c r="K479" t="str">
        <f t="shared" si="68"/>
        <v>sell</v>
      </c>
      <c r="L479">
        <f t="shared" si="63"/>
        <v>0</v>
      </c>
      <c r="M479">
        <f t="shared" si="64"/>
        <v>1</v>
      </c>
      <c r="N479">
        <f t="shared" si="69"/>
        <v>1</v>
      </c>
      <c r="O479">
        <f t="shared" si="70"/>
        <v>1628.5467661312637</v>
      </c>
      <c r="P479">
        <f t="shared" si="71"/>
        <v>0</v>
      </c>
      <c r="Q479">
        <f>Q478+(Q478*E479/100)</f>
        <v>1691.9905885736218</v>
      </c>
    </row>
    <row r="480" spans="1:17" x14ac:dyDescent="0.25">
      <c r="A480" s="1">
        <v>45783</v>
      </c>
      <c r="B480">
        <v>-0.88436688304542799</v>
      </c>
      <c r="C480">
        <v>-1.20223448463792</v>
      </c>
      <c r="D480">
        <v>-4.5494020987333403</v>
      </c>
      <c r="E480">
        <v>-0.48626491063842298</v>
      </c>
      <c r="F480" s="3">
        <v>-0.72868341187582897</v>
      </c>
      <c r="G480">
        <f t="shared" si="65"/>
        <v>-0.684091808475917</v>
      </c>
      <c r="H480" t="str">
        <f>IF(F480&gt;$T$2,"buy",IF(F480&lt;0,"sell","keep"))</f>
        <v>sell</v>
      </c>
      <c r="I480" t="str">
        <f t="shared" si="67"/>
        <v>sell</v>
      </c>
      <c r="J480">
        <f t="shared" si="66"/>
        <v>1</v>
      </c>
      <c r="K480" t="str">
        <f t="shared" si="68"/>
        <v>keep</v>
      </c>
      <c r="L480">
        <f t="shared" si="63"/>
        <v>0</v>
      </c>
      <c r="M480">
        <f t="shared" si="64"/>
        <v>0</v>
      </c>
      <c r="N480">
        <f t="shared" si="69"/>
        <v>0</v>
      </c>
      <c r="O480">
        <f t="shared" si="70"/>
        <v>1628.5467661312637</v>
      </c>
      <c r="P480">
        <f t="shared" si="71"/>
        <v>0</v>
      </c>
      <c r="Q480">
        <f>Q479+(Q479*E480/100)</f>
        <v>1683.7630320500839</v>
      </c>
    </row>
    <row r="481" spans="1:17" x14ac:dyDescent="0.25">
      <c r="A481" s="1">
        <v>45784</v>
      </c>
      <c r="B481">
        <v>0.38714435984550299</v>
      </c>
      <c r="C481">
        <v>0.58383630325313796</v>
      </c>
      <c r="D481">
        <v>0.50227785126344404</v>
      </c>
      <c r="E481">
        <v>-0.684091808475917</v>
      </c>
      <c r="F481" s="3">
        <v>0.29394753603134099</v>
      </c>
      <c r="G481">
        <f t="shared" si="65"/>
        <v>1.15620513742575</v>
      </c>
      <c r="H481" t="str">
        <f>IF(F481&gt;$T$2,"buy",IF(F481&lt;0,"sell","keep"))</f>
        <v>buy</v>
      </c>
      <c r="I481" t="str">
        <f t="shared" si="67"/>
        <v>buy</v>
      </c>
      <c r="J481">
        <f t="shared" si="66"/>
        <v>1</v>
      </c>
      <c r="K481" t="str">
        <f t="shared" si="68"/>
        <v>buy</v>
      </c>
      <c r="L481">
        <f t="shared" si="63"/>
        <v>1</v>
      </c>
      <c r="M481">
        <f t="shared" si="64"/>
        <v>0</v>
      </c>
      <c r="N481">
        <f t="shared" si="69"/>
        <v>1</v>
      </c>
      <c r="O481">
        <f t="shared" si="70"/>
        <v>0</v>
      </c>
      <c r="P481">
        <f t="shared" si="71"/>
        <v>1628.5467661312637</v>
      </c>
      <c r="Q481">
        <f>Q480+(Q480*E481/100)</f>
        <v>1672.2445470736836</v>
      </c>
    </row>
    <row r="482" spans="1:17" x14ac:dyDescent="0.25">
      <c r="A482" s="1">
        <v>45785</v>
      </c>
      <c r="B482">
        <v>0.98444801772954404</v>
      </c>
      <c r="C482">
        <v>0.793929196120291</v>
      </c>
      <c r="D482">
        <v>-1.3344749440756301</v>
      </c>
      <c r="E482">
        <v>1.15620513742575</v>
      </c>
      <c r="F482" s="3">
        <v>0.220178803022095</v>
      </c>
      <c r="G482">
        <f t="shared" si="65"/>
        <v>1.33754681747833</v>
      </c>
      <c r="H482" t="str">
        <f>IF(F482&gt;$T$2,"buy",IF(F482&lt;0,"sell","keep"))</f>
        <v>buy</v>
      </c>
      <c r="I482" t="str">
        <f t="shared" si="67"/>
        <v>buy</v>
      </c>
      <c r="J482">
        <f t="shared" si="66"/>
        <v>1</v>
      </c>
      <c r="K482" t="str">
        <f t="shared" si="68"/>
        <v>keep</v>
      </c>
      <c r="L482">
        <f t="shared" si="63"/>
        <v>0</v>
      </c>
      <c r="M482">
        <f t="shared" si="64"/>
        <v>0</v>
      </c>
      <c r="N482">
        <f t="shared" si="69"/>
        <v>0</v>
      </c>
      <c r="O482">
        <f t="shared" si="70"/>
        <v>0</v>
      </c>
      <c r="P482">
        <f t="shared" si="71"/>
        <v>1617.4060111069602</v>
      </c>
      <c r="Q482">
        <f>Q481+(Q481*E482/100)</f>
        <v>1691.5791244372715</v>
      </c>
    </row>
    <row r="483" spans="1:17" x14ac:dyDescent="0.25">
      <c r="A483" s="1">
        <v>45786</v>
      </c>
      <c r="B483">
        <v>-1.0523197615230901E-2</v>
      </c>
      <c r="C483">
        <v>-0.125770191090845</v>
      </c>
      <c r="D483">
        <v>-0.528057623984035</v>
      </c>
      <c r="E483">
        <v>1.33754681747833</v>
      </c>
      <c r="F483" s="3">
        <v>6.5697842404073802E-3</v>
      </c>
      <c r="G483">
        <f t="shared" si="65"/>
        <v>-2.35181085984946</v>
      </c>
      <c r="H483" t="str">
        <f>IF(F483&gt;$T$2,"buy",IF(F483&lt;0,"sell","keep"))</f>
        <v>keep</v>
      </c>
      <c r="I483" t="str">
        <f t="shared" si="67"/>
        <v>sell</v>
      </c>
      <c r="J483">
        <f t="shared" si="66"/>
        <v>0</v>
      </c>
      <c r="K483" t="str">
        <f t="shared" si="68"/>
        <v>sell</v>
      </c>
      <c r="L483">
        <f t="shared" si="63"/>
        <v>0</v>
      </c>
      <c r="M483">
        <f t="shared" si="64"/>
        <v>1</v>
      </c>
      <c r="N483">
        <f t="shared" si="69"/>
        <v>0</v>
      </c>
      <c r="O483">
        <f t="shared" si="70"/>
        <v>1639.0395737342246</v>
      </c>
      <c r="P483">
        <f t="shared" si="71"/>
        <v>0</v>
      </c>
      <c r="Q483">
        <f>Q482+(Q482*E483/100)</f>
        <v>1714.2047871813099</v>
      </c>
    </row>
    <row r="484" spans="1:17" x14ac:dyDescent="0.25">
      <c r="A484" s="1">
        <v>45789</v>
      </c>
      <c r="B484">
        <v>4.0211510299117998</v>
      </c>
      <c r="C484">
        <v>0.38881774440626599</v>
      </c>
      <c r="D484">
        <v>2.9631641146750298</v>
      </c>
      <c r="E484">
        <v>-2.35181085984946</v>
      </c>
      <c r="F484" s="3">
        <v>0.95856683051031299</v>
      </c>
      <c r="G484">
        <f t="shared" si="65"/>
        <v>-0.516095088621637</v>
      </c>
      <c r="H484" t="str">
        <f>IF(F484&gt;$T$2,"buy",IF(F484&lt;0,"sell","keep"))</f>
        <v>buy</v>
      </c>
      <c r="I484" t="str">
        <f t="shared" si="67"/>
        <v>buy</v>
      </c>
      <c r="J484">
        <f t="shared" si="66"/>
        <v>0</v>
      </c>
      <c r="K484" t="str">
        <f t="shared" si="68"/>
        <v>buy</v>
      </c>
      <c r="L484">
        <f t="shared" si="63"/>
        <v>1</v>
      </c>
      <c r="M484">
        <f t="shared" si="64"/>
        <v>0</v>
      </c>
      <c r="N484">
        <f t="shared" si="69"/>
        <v>0</v>
      </c>
      <c r="O484">
        <f t="shared" si="70"/>
        <v>0</v>
      </c>
      <c r="P484">
        <f t="shared" si="71"/>
        <v>1639.0395737342246</v>
      </c>
      <c r="Q484">
        <f>Q483+(Q483*E484/100)</f>
        <v>1673.8899328363207</v>
      </c>
    </row>
    <row r="485" spans="1:17" x14ac:dyDescent="0.25">
      <c r="A485" s="1">
        <v>45790</v>
      </c>
      <c r="B485">
        <v>1.5791951943812299</v>
      </c>
      <c r="C485">
        <v>-0.82522866734171496</v>
      </c>
      <c r="D485">
        <v>-1.08908575283193</v>
      </c>
      <c r="E485">
        <v>-0.516095088621637</v>
      </c>
      <c r="F485" s="3">
        <v>-1.2423585446562999E-2</v>
      </c>
      <c r="G485">
        <f t="shared" si="65"/>
        <v>0.44466479054172597</v>
      </c>
      <c r="H485" t="str">
        <f>IF(F485&gt;$T$2,"buy",IF(F485&lt;0,"sell","keep"))</f>
        <v>sell</v>
      </c>
      <c r="I485" t="str">
        <f t="shared" si="67"/>
        <v>sell</v>
      </c>
      <c r="J485">
        <f t="shared" si="66"/>
        <v>0</v>
      </c>
      <c r="K485" t="str">
        <f t="shared" si="68"/>
        <v>sell</v>
      </c>
      <c r="L485">
        <f t="shared" si="63"/>
        <v>0</v>
      </c>
      <c r="M485">
        <f t="shared" si="64"/>
        <v>1</v>
      </c>
      <c r="N485">
        <f t="shared" si="69"/>
        <v>0</v>
      </c>
      <c r="O485">
        <f t="shared" si="70"/>
        <v>1630.5805709936174</v>
      </c>
      <c r="P485">
        <f t="shared" si="71"/>
        <v>0</v>
      </c>
      <c r="Q485">
        <f>Q484+(Q484*E485/100)</f>
        <v>1665.2510691040204</v>
      </c>
    </row>
    <row r="486" spans="1:17" x14ac:dyDescent="0.25">
      <c r="A486" s="1">
        <v>45791</v>
      </c>
      <c r="B486">
        <v>0.57323069591683695</v>
      </c>
      <c r="C486">
        <v>-1.0428962215283799</v>
      </c>
      <c r="D486">
        <v>-5.61701512937291</v>
      </c>
      <c r="E486">
        <v>0.44466479054172597</v>
      </c>
      <c r="F486" s="3">
        <v>-0.61321224699558197</v>
      </c>
      <c r="G486">
        <f t="shared" si="65"/>
        <v>0.245938205844487</v>
      </c>
      <c r="H486" t="str">
        <f>IF(F486&gt;$T$2,"buy",IF(F486&lt;0,"sell","keep"))</f>
        <v>sell</v>
      </c>
      <c r="I486" t="str">
        <f t="shared" si="67"/>
        <v>sell</v>
      </c>
      <c r="J486">
        <f t="shared" si="66"/>
        <v>0</v>
      </c>
      <c r="K486" t="str">
        <f t="shared" si="68"/>
        <v>keep</v>
      </c>
      <c r="L486">
        <f t="shared" si="63"/>
        <v>0</v>
      </c>
      <c r="M486">
        <f t="shared" si="64"/>
        <v>0</v>
      </c>
      <c r="N486">
        <f t="shared" si="69"/>
        <v>0</v>
      </c>
      <c r="O486">
        <f t="shared" si="70"/>
        <v>1630.5805709936174</v>
      </c>
      <c r="P486">
        <f t="shared" si="71"/>
        <v>0</v>
      </c>
      <c r="Q486">
        <f>Q485+(Q485*E486/100)</f>
        <v>1672.6558542824457</v>
      </c>
    </row>
    <row r="487" spans="1:17" x14ac:dyDescent="0.25">
      <c r="A487" s="1">
        <v>45792</v>
      </c>
      <c r="B487">
        <v>7.7908019432304507E-2</v>
      </c>
      <c r="C487">
        <v>1.8499064937880001</v>
      </c>
      <c r="D487">
        <v>2.3895380893893301</v>
      </c>
      <c r="E487">
        <v>0.245938205844487</v>
      </c>
      <c r="F487" s="3">
        <v>0.68407950427167497</v>
      </c>
      <c r="G487">
        <f t="shared" si="65"/>
        <v>1.2021631468221501</v>
      </c>
      <c r="H487" t="str">
        <f>IF(F487&gt;$T$2,"buy",IF(F487&lt;0,"sell","keep"))</f>
        <v>buy</v>
      </c>
      <c r="I487" t="str">
        <f t="shared" si="67"/>
        <v>buy</v>
      </c>
      <c r="J487">
        <f t="shared" si="66"/>
        <v>1</v>
      </c>
      <c r="K487" t="str">
        <f t="shared" si="68"/>
        <v>buy</v>
      </c>
      <c r="L487">
        <f t="shared" si="63"/>
        <v>1</v>
      </c>
      <c r="M487">
        <f t="shared" si="64"/>
        <v>0</v>
      </c>
      <c r="N487">
        <f t="shared" si="69"/>
        <v>1</v>
      </c>
      <c r="O487">
        <f t="shared" si="70"/>
        <v>0</v>
      </c>
      <c r="P487">
        <f t="shared" si="71"/>
        <v>1630.5805709936174</v>
      </c>
      <c r="Q487">
        <f>Q486+(Q486*E487/100)</f>
        <v>1676.7695540804207</v>
      </c>
    </row>
    <row r="488" spans="1:17" x14ac:dyDescent="0.25">
      <c r="A488" s="1">
        <v>45793</v>
      </c>
      <c r="B488">
        <v>0.43175813854707801</v>
      </c>
      <c r="C488">
        <v>0.78156117190200103</v>
      </c>
      <c r="D488">
        <v>1.28797900880111</v>
      </c>
      <c r="E488">
        <v>1.2021631468221501</v>
      </c>
      <c r="F488" s="3">
        <v>0.41221132781931102</v>
      </c>
      <c r="G488">
        <f t="shared" si="65"/>
        <v>1.01817737926135</v>
      </c>
      <c r="H488" t="str">
        <f>IF(F488&gt;$T$2,"buy",IF(F488&lt;0,"sell","keep"))</f>
        <v>buy</v>
      </c>
      <c r="I488" t="str">
        <f t="shared" si="67"/>
        <v>buy</v>
      </c>
      <c r="J488">
        <f t="shared" si="66"/>
        <v>1</v>
      </c>
      <c r="K488" t="str">
        <f t="shared" si="68"/>
        <v>keep</v>
      </c>
      <c r="L488">
        <f t="shared" si="63"/>
        <v>0</v>
      </c>
      <c r="M488">
        <f t="shared" si="64"/>
        <v>0</v>
      </c>
      <c r="N488">
        <f t="shared" si="69"/>
        <v>0</v>
      </c>
      <c r="O488">
        <f t="shared" si="70"/>
        <v>0</v>
      </c>
      <c r="P488">
        <f t="shared" si="71"/>
        <v>1634.5907915947678</v>
      </c>
      <c r="Q488">
        <f>Q487+(Q487*E488/100)</f>
        <v>1696.9270597167097</v>
      </c>
    </row>
    <row r="489" spans="1:17" x14ac:dyDescent="0.25">
      <c r="A489" s="1">
        <v>45796</v>
      </c>
      <c r="B489">
        <v>8.9188828290320807E-2</v>
      </c>
      <c r="C489">
        <v>0.55922824925875803</v>
      </c>
      <c r="D489">
        <v>0.91838420017773503</v>
      </c>
      <c r="E489">
        <v>1.01817737926135</v>
      </c>
      <c r="F489" s="3">
        <v>0.29440600928959099</v>
      </c>
      <c r="G489">
        <f t="shared" si="65"/>
        <v>-0.14398262834209799</v>
      </c>
      <c r="H489" t="str">
        <f>IF(F489&gt;$T$2,"buy",IF(F489&lt;0,"sell","keep"))</f>
        <v>buy</v>
      </c>
      <c r="I489" t="str">
        <f t="shared" si="67"/>
        <v>buy</v>
      </c>
      <c r="J489">
        <f t="shared" si="66"/>
        <v>0</v>
      </c>
      <c r="K489" t="str">
        <f t="shared" si="68"/>
        <v>keep</v>
      </c>
      <c r="L489">
        <f t="shared" si="63"/>
        <v>0</v>
      </c>
      <c r="M489">
        <f t="shared" si="64"/>
        <v>0</v>
      </c>
      <c r="N489">
        <f t="shared" si="69"/>
        <v>0</v>
      </c>
      <c r="O489">
        <f t="shared" si="70"/>
        <v>0</v>
      </c>
      <c r="P489">
        <f t="shared" si="71"/>
        <v>1654.2412396926686</v>
      </c>
      <c r="Q489">
        <f>Q488+(Q488*E489/100)</f>
        <v>1714.2047871813099</v>
      </c>
    </row>
    <row r="490" spans="1:17" x14ac:dyDescent="0.25">
      <c r="A490" s="1">
        <v>45797</v>
      </c>
      <c r="B490">
        <v>-0.37152726236215899</v>
      </c>
      <c r="C490">
        <v>-0.10427678105907601</v>
      </c>
      <c r="D490">
        <v>-0.46309108672507499</v>
      </c>
      <c r="E490">
        <v>-0.14398262834209799</v>
      </c>
      <c r="F490" s="3">
        <v>-2.5637161965236199E-2</v>
      </c>
      <c r="G490">
        <f t="shared" si="65"/>
        <v>0.19225670556111099</v>
      </c>
      <c r="H490" t="str">
        <f>IF(F490&gt;$T$2,"buy",IF(F490&lt;0,"sell","keep"))</f>
        <v>sell</v>
      </c>
      <c r="I490" t="str">
        <f t="shared" si="67"/>
        <v>sell</v>
      </c>
      <c r="J490">
        <f t="shared" si="66"/>
        <v>0</v>
      </c>
      <c r="K490" t="str">
        <f t="shared" si="68"/>
        <v>sell</v>
      </c>
      <c r="L490">
        <f t="shared" si="63"/>
        <v>0</v>
      </c>
      <c r="M490">
        <f t="shared" si="64"/>
        <v>1</v>
      </c>
      <c r="N490">
        <f t="shared" si="69"/>
        <v>0</v>
      </c>
      <c r="O490">
        <f t="shared" si="70"/>
        <v>1651.8594196766403</v>
      </c>
      <c r="P490">
        <f t="shared" si="71"/>
        <v>0</v>
      </c>
      <c r="Q490">
        <f>Q489+(Q489*E490/100)</f>
        <v>1711.7366300735603</v>
      </c>
    </row>
    <row r="491" spans="1:17" x14ac:dyDescent="0.25">
      <c r="A491" s="1">
        <v>45798</v>
      </c>
      <c r="B491">
        <v>-1.34321527248443</v>
      </c>
      <c r="C491">
        <v>-0.94595958830822002</v>
      </c>
      <c r="D491">
        <v>-1.64999204105076</v>
      </c>
      <c r="E491">
        <v>0.19225670556111099</v>
      </c>
      <c r="F491" s="3">
        <v>-0.42084515994965199</v>
      </c>
      <c r="G491">
        <f t="shared" si="65"/>
        <v>-0.28783625770590898</v>
      </c>
      <c r="H491" t="str">
        <f>IF(F491&gt;$T$2,"buy",IF(F491&lt;0,"sell","keep"))</f>
        <v>sell</v>
      </c>
      <c r="I491" t="str">
        <f t="shared" si="67"/>
        <v>sell</v>
      </c>
      <c r="J491">
        <f t="shared" si="66"/>
        <v>1</v>
      </c>
      <c r="K491" t="str">
        <f t="shared" si="68"/>
        <v>keep</v>
      </c>
      <c r="L491">
        <f t="shared" si="63"/>
        <v>0</v>
      </c>
      <c r="M491">
        <f t="shared" si="64"/>
        <v>0</v>
      </c>
      <c r="N491">
        <f t="shared" si="69"/>
        <v>0</v>
      </c>
      <c r="O491">
        <f t="shared" si="70"/>
        <v>1651.8594196766403</v>
      </c>
      <c r="P491">
        <f t="shared" si="71"/>
        <v>0</v>
      </c>
      <c r="Q491">
        <f>Q490+(Q490*E491/100)</f>
        <v>1715.0275585264226</v>
      </c>
    </row>
    <row r="492" spans="1:17" x14ac:dyDescent="0.25">
      <c r="A492" s="1">
        <v>45799</v>
      </c>
      <c r="B492">
        <v>0.152328181667926</v>
      </c>
      <c r="C492">
        <v>0.76838817144295701</v>
      </c>
      <c r="D492">
        <v>0.40703900013976302</v>
      </c>
      <c r="E492">
        <v>-0.28783625770590898</v>
      </c>
      <c r="F492" s="3">
        <v>0.29464652599122299</v>
      </c>
      <c r="G492">
        <f t="shared" si="65"/>
        <v>-1.44334490865006</v>
      </c>
      <c r="H492" t="str">
        <f>IF(F492&gt;$T$2,"buy",IF(F492&lt;0,"sell","keep"))</f>
        <v>buy</v>
      </c>
      <c r="I492" t="str">
        <f t="shared" si="67"/>
        <v>buy</v>
      </c>
      <c r="J492">
        <f t="shared" si="66"/>
        <v>0</v>
      </c>
      <c r="K492" t="str">
        <f t="shared" si="68"/>
        <v>buy</v>
      </c>
      <c r="L492">
        <f t="shared" si="63"/>
        <v>1</v>
      </c>
      <c r="M492">
        <f t="shared" si="64"/>
        <v>0</v>
      </c>
      <c r="N492">
        <f t="shared" si="69"/>
        <v>0</v>
      </c>
      <c r="O492">
        <f t="shared" si="70"/>
        <v>0</v>
      </c>
      <c r="P492">
        <f t="shared" si="71"/>
        <v>1651.8594196766403</v>
      </c>
      <c r="Q492">
        <f>Q491+(Q491*E492/100)</f>
        <v>1710.0910873833352</v>
      </c>
    </row>
    <row r="493" spans="1:17" x14ac:dyDescent="0.25">
      <c r="A493" s="1">
        <v>45800</v>
      </c>
      <c r="B493">
        <v>-0.93220044987850603</v>
      </c>
      <c r="C493">
        <v>-2.17861587778478E-2</v>
      </c>
      <c r="D493">
        <v>0.39444008717281998</v>
      </c>
      <c r="E493">
        <v>-1.44334490865006</v>
      </c>
      <c r="F493" s="3">
        <v>3.4087421909694002E-3</v>
      </c>
      <c r="G493">
        <f t="shared" si="65"/>
        <v>-0.605033886365968</v>
      </c>
      <c r="H493" t="str">
        <f>IF(F493&gt;$T$2,"buy",IF(F493&lt;0,"sell","keep"))</f>
        <v>keep</v>
      </c>
      <c r="I493" t="str">
        <f t="shared" si="67"/>
        <v>sell</v>
      </c>
      <c r="J493">
        <f t="shared" si="66"/>
        <v>0</v>
      </c>
      <c r="K493" t="str">
        <f t="shared" si="68"/>
        <v>sell</v>
      </c>
      <c r="L493">
        <f t="shared" si="63"/>
        <v>0</v>
      </c>
      <c r="M493">
        <f t="shared" si="64"/>
        <v>1</v>
      </c>
      <c r="N493">
        <f t="shared" si="69"/>
        <v>0</v>
      </c>
      <c r="O493">
        <f t="shared" si="70"/>
        <v>1628.0173908446811</v>
      </c>
      <c r="P493">
        <f t="shared" si="71"/>
        <v>0</v>
      </c>
      <c r="Q493">
        <f>Q492+(Q492*E493/100)</f>
        <v>1685.4085747403094</v>
      </c>
    </row>
    <row r="494" spans="1:17" x14ac:dyDescent="0.25">
      <c r="A494" s="1">
        <v>45805</v>
      </c>
      <c r="B494">
        <v>-0.45211467033304797</v>
      </c>
      <c r="C494">
        <v>-1.16251540624734</v>
      </c>
      <c r="D494">
        <v>-1.41610614813844</v>
      </c>
      <c r="E494">
        <v>-0.605033886365968</v>
      </c>
      <c r="F494" s="3">
        <v>-0.33912145486378098</v>
      </c>
      <c r="G494">
        <f t="shared" si="65"/>
        <v>0.94959676782657698</v>
      </c>
      <c r="H494" t="str">
        <f>IF(F494&gt;$T$2,"buy",IF(F494&lt;0,"sell","keep"))</f>
        <v>sell</v>
      </c>
      <c r="I494" t="str">
        <f t="shared" si="67"/>
        <v>sell</v>
      </c>
      <c r="J494">
        <f t="shared" si="66"/>
        <v>0</v>
      </c>
      <c r="K494" t="str">
        <f t="shared" si="68"/>
        <v>keep</v>
      </c>
      <c r="L494">
        <f t="shared" si="63"/>
        <v>0</v>
      </c>
      <c r="M494">
        <f t="shared" si="64"/>
        <v>0</v>
      </c>
      <c r="N494">
        <f t="shared" si="69"/>
        <v>0</v>
      </c>
      <c r="O494">
        <f t="shared" si="70"/>
        <v>1628.0173908446811</v>
      </c>
      <c r="P494">
        <f t="shared" si="71"/>
        <v>0</v>
      </c>
      <c r="Q494">
        <f>Q493+(Q493*E494/100)</f>
        <v>1675.2112817394129</v>
      </c>
    </row>
    <row r="495" spans="1:17" x14ac:dyDescent="0.25">
      <c r="A495" s="1">
        <v>45806</v>
      </c>
      <c r="B495">
        <v>0.214743090250091</v>
      </c>
      <c r="C495">
        <v>0.33944825845069099</v>
      </c>
      <c r="D495">
        <v>1.3818254441051401</v>
      </c>
      <c r="E495">
        <v>0.94959676782657698</v>
      </c>
      <c r="F495" s="3">
        <v>0.30268335323544798</v>
      </c>
      <c r="G495">
        <f t="shared" si="65"/>
        <v>0.1205963293889</v>
      </c>
      <c r="H495" t="str">
        <f>IF(F495&gt;$T$2,"buy",IF(F495&lt;0,"sell","keep"))</f>
        <v>buy</v>
      </c>
      <c r="I495" t="str">
        <f t="shared" si="67"/>
        <v>buy</v>
      </c>
      <c r="J495">
        <f t="shared" si="66"/>
        <v>1</v>
      </c>
      <c r="K495" t="str">
        <f t="shared" si="68"/>
        <v>buy</v>
      </c>
      <c r="L495">
        <f t="shared" si="63"/>
        <v>1</v>
      </c>
      <c r="M495">
        <f t="shared" si="64"/>
        <v>0</v>
      </c>
      <c r="N495">
        <f t="shared" si="69"/>
        <v>1</v>
      </c>
      <c r="O495">
        <f t="shared" si="70"/>
        <v>0</v>
      </c>
      <c r="P495">
        <f t="shared" si="71"/>
        <v>1628.0173908446811</v>
      </c>
      <c r="Q495">
        <f>Q494+(Q494*E495/100)</f>
        <v>1691.1190339250766</v>
      </c>
    </row>
    <row r="496" spans="1:17" x14ac:dyDescent="0.25">
      <c r="A496" s="1">
        <v>45807</v>
      </c>
      <c r="B496">
        <v>-0.10746601267358399</v>
      </c>
      <c r="C496">
        <v>0.75418872884960297</v>
      </c>
      <c r="D496">
        <v>0.26398453840925601</v>
      </c>
      <c r="E496">
        <v>0.1205963293889</v>
      </c>
      <c r="F496" s="3">
        <v>0.24085904010005299</v>
      </c>
      <c r="G496">
        <f t="shared" si="65"/>
        <v>0.91544467232154103</v>
      </c>
      <c r="H496" t="str">
        <f>IF(F496&gt;$T$2,"buy",IF(F496&lt;0,"sell","keep"))</f>
        <v>buy</v>
      </c>
      <c r="I496" t="str">
        <f t="shared" si="67"/>
        <v>buy</v>
      </c>
      <c r="J496">
        <f t="shared" si="66"/>
        <v>1</v>
      </c>
      <c r="K496" t="str">
        <f t="shared" si="68"/>
        <v>keep</v>
      </c>
      <c r="L496">
        <f t="shared" si="63"/>
        <v>0</v>
      </c>
      <c r="M496">
        <f t="shared" si="64"/>
        <v>0</v>
      </c>
      <c r="N496">
        <f t="shared" si="69"/>
        <v>0</v>
      </c>
      <c r="O496">
        <f t="shared" si="70"/>
        <v>0</v>
      </c>
      <c r="P496">
        <f t="shared" si="71"/>
        <v>1643.4769913677967</v>
      </c>
      <c r="Q496">
        <f>Q495+(Q495*E496/100)</f>
        <v>1693.1584614055873</v>
      </c>
    </row>
    <row r="497" spans="1:17" x14ac:dyDescent="0.25">
      <c r="A497" s="1">
        <v>45810</v>
      </c>
      <c r="B497">
        <v>0.70643285044085202</v>
      </c>
      <c r="C497">
        <v>-0.64374077695608101</v>
      </c>
      <c r="D497">
        <v>0.47284301269412399</v>
      </c>
      <c r="E497">
        <v>0.91544467232154103</v>
      </c>
      <c r="F497" s="3">
        <v>8.3269686565067294E-2</v>
      </c>
      <c r="G497">
        <f t="shared" si="65"/>
        <v>0.57293311521533496</v>
      </c>
      <c r="H497" t="str">
        <f>IF(F497&gt;$T$2,"buy",IF(F497&lt;0,"sell","keep"))</f>
        <v>keep</v>
      </c>
      <c r="I497" t="str">
        <f t="shared" si="67"/>
        <v>sell</v>
      </c>
      <c r="J497">
        <f t="shared" si="66"/>
        <v>1</v>
      </c>
      <c r="K497" t="str">
        <f t="shared" si="68"/>
        <v>sell</v>
      </c>
      <c r="L497">
        <f t="shared" si="63"/>
        <v>0</v>
      </c>
      <c r="M497">
        <f t="shared" si="64"/>
        <v>1</v>
      </c>
      <c r="N497">
        <f t="shared" si="69"/>
        <v>1</v>
      </c>
      <c r="O497">
        <f t="shared" si="70"/>
        <v>1658.5221139261037</v>
      </c>
      <c r="P497">
        <f t="shared" si="71"/>
        <v>0</v>
      </c>
      <c r="Q497">
        <f>Q496+(Q496*E497/100)</f>
        <v>1708.6583903344861</v>
      </c>
    </row>
    <row r="498" spans="1:17" x14ac:dyDescent="0.25">
      <c r="A498" s="1">
        <v>45811</v>
      </c>
      <c r="B498">
        <v>0.79486350867192801</v>
      </c>
      <c r="C498">
        <v>1.56058550521462</v>
      </c>
      <c r="D498">
        <v>0.139047666800373</v>
      </c>
      <c r="E498">
        <v>0.57293311521533496</v>
      </c>
      <c r="F498" s="3">
        <v>0.49683843287754698</v>
      </c>
      <c r="G498">
        <f t="shared" si="65"/>
        <v>0.52218704113053904</v>
      </c>
      <c r="H498" t="str">
        <f>IF(F498&gt;$T$2,"buy",IF(F498&lt;0,"sell","keep"))</f>
        <v>buy</v>
      </c>
      <c r="I498" t="str">
        <f t="shared" si="67"/>
        <v>buy</v>
      </c>
      <c r="J498">
        <f t="shared" si="66"/>
        <v>1</v>
      </c>
      <c r="K498" t="str">
        <f t="shared" si="68"/>
        <v>buy</v>
      </c>
      <c r="L498">
        <f t="shared" si="63"/>
        <v>1</v>
      </c>
      <c r="M498">
        <f t="shared" si="64"/>
        <v>0</v>
      </c>
      <c r="N498">
        <f t="shared" si="69"/>
        <v>1</v>
      </c>
      <c r="O498">
        <f t="shared" si="70"/>
        <v>0</v>
      </c>
      <c r="P498">
        <f t="shared" si="71"/>
        <v>1658.5221139261037</v>
      </c>
      <c r="Q498">
        <f>Q497+(Q497*E498/100)</f>
        <v>1718.4478600786176</v>
      </c>
    </row>
    <row r="499" spans="1:17" x14ac:dyDescent="0.25">
      <c r="A499" s="1">
        <v>45812</v>
      </c>
      <c r="B499">
        <v>0.27392786794553298</v>
      </c>
      <c r="C499">
        <v>0.73353875937895996</v>
      </c>
      <c r="D499">
        <v>4.80679400275629E-2</v>
      </c>
      <c r="E499">
        <v>0.52218704113053904</v>
      </c>
      <c r="F499" s="3">
        <v>0.26447367681666401</v>
      </c>
      <c r="G499">
        <f t="shared" si="65"/>
        <v>0.35419487906373998</v>
      </c>
      <c r="H499" t="str">
        <f>IF(F499&gt;$T$2,"buy",IF(F499&lt;0,"sell","keep"))</f>
        <v>buy</v>
      </c>
      <c r="I499" t="str">
        <f t="shared" si="67"/>
        <v>buy</v>
      </c>
      <c r="J499">
        <f t="shared" si="66"/>
        <v>1</v>
      </c>
      <c r="K499" t="str">
        <f t="shared" si="68"/>
        <v>keep</v>
      </c>
      <c r="L499">
        <f t="shared" si="63"/>
        <v>0</v>
      </c>
      <c r="M499">
        <f t="shared" si="64"/>
        <v>0</v>
      </c>
      <c r="N499">
        <f t="shared" si="69"/>
        <v>0</v>
      </c>
      <c r="O499">
        <f t="shared" si="70"/>
        <v>0</v>
      </c>
      <c r="P499">
        <f t="shared" si="71"/>
        <v>1668.0243363399557</v>
      </c>
      <c r="Q499">
        <f>Q498+(Q498*E499/100)</f>
        <v>1727.4213721125332</v>
      </c>
    </row>
    <row r="500" spans="1:17" x14ac:dyDescent="0.25">
      <c r="A500" s="1">
        <v>45813</v>
      </c>
      <c r="B500">
        <v>-0.80329103045482197</v>
      </c>
      <c r="C500">
        <v>-0.74085738864957396</v>
      </c>
      <c r="D500">
        <v>6.9389769567407195E-2</v>
      </c>
      <c r="E500">
        <v>0.35419487906373998</v>
      </c>
      <c r="F500" s="3">
        <v>-0.150468919183358</v>
      </c>
      <c r="G500">
        <f t="shared" si="65"/>
        <v>0.49411549287683398</v>
      </c>
      <c r="H500" t="str">
        <f>IF(F500&gt;$T$2,"buy",IF(F500&lt;0,"sell","keep"))</f>
        <v>sell</v>
      </c>
      <c r="I500" t="str">
        <f t="shared" si="67"/>
        <v>sell</v>
      </c>
      <c r="J500">
        <f t="shared" si="66"/>
        <v>0</v>
      </c>
      <c r="K500" t="str">
        <f t="shared" si="68"/>
        <v>sell</v>
      </c>
      <c r="L500">
        <f t="shared" si="63"/>
        <v>0</v>
      </c>
      <c r="M500">
        <f t="shared" si="64"/>
        <v>1</v>
      </c>
      <c r="N500">
        <f t="shared" si="69"/>
        <v>0</v>
      </c>
      <c r="O500">
        <f t="shared" si="70"/>
        <v>1673.9323931208087</v>
      </c>
      <c r="P500">
        <f t="shared" si="71"/>
        <v>0</v>
      </c>
      <c r="Q500">
        <f>Q499+(Q499*E500/100)</f>
        <v>1733.5398101524083</v>
      </c>
    </row>
    <row r="501" spans="1:17" x14ac:dyDescent="0.25">
      <c r="A501" s="1">
        <v>45814</v>
      </c>
      <c r="B501">
        <v>0.994825731462323</v>
      </c>
      <c r="C501">
        <v>0.52097722156458903</v>
      </c>
      <c r="D501">
        <v>1.25886066970417</v>
      </c>
      <c r="E501">
        <v>0.49411549287683398</v>
      </c>
      <c r="F501" s="3">
        <v>0.42274807822736199</v>
      </c>
      <c r="G501">
        <f t="shared" si="65"/>
        <v>-0.74923835561625496</v>
      </c>
      <c r="H501" t="str">
        <f>IF(F501&gt;$T$2,"buy",IF(F501&lt;0,"sell","keep"))</f>
        <v>buy</v>
      </c>
      <c r="I501" t="str">
        <f t="shared" si="67"/>
        <v>buy</v>
      </c>
      <c r="J501">
        <f t="shared" si="66"/>
        <v>0</v>
      </c>
      <c r="K501" t="str">
        <f t="shared" si="68"/>
        <v>buy</v>
      </c>
      <c r="L501">
        <f t="shared" si="63"/>
        <v>1</v>
      </c>
      <c r="M501">
        <f t="shared" si="64"/>
        <v>0</v>
      </c>
      <c r="N501">
        <f t="shared" si="69"/>
        <v>0</v>
      </c>
      <c r="O501">
        <f t="shared" si="70"/>
        <v>0</v>
      </c>
      <c r="P501">
        <f t="shared" si="71"/>
        <v>1673.9323931208087</v>
      </c>
      <c r="Q501">
        <f>Q500+(Q500*E501/100)</f>
        <v>1742.105498929559</v>
      </c>
    </row>
    <row r="502" spans="1:17" x14ac:dyDescent="0.25">
      <c r="A502" s="1">
        <v>45817</v>
      </c>
      <c r="B502">
        <v>0.16579555119009501</v>
      </c>
      <c r="C502">
        <v>-0.114223645503674</v>
      </c>
      <c r="D502">
        <v>-0.35294277439066302</v>
      </c>
      <c r="E502">
        <v>-0.74923835561625496</v>
      </c>
      <c r="F502" s="3">
        <v>4.7540362131089697E-2</v>
      </c>
      <c r="G502">
        <f t="shared" si="65"/>
        <v>-0.44821568635214898</v>
      </c>
      <c r="H502" t="str">
        <f>IF(F502&gt;$T$2,"buy",IF(F502&lt;0,"sell","keep"))</f>
        <v>keep</v>
      </c>
      <c r="I502" t="str">
        <f t="shared" si="67"/>
        <v>sell</v>
      </c>
      <c r="J502">
        <f t="shared" si="66"/>
        <v>0</v>
      </c>
      <c r="K502" t="str">
        <f t="shared" si="68"/>
        <v>sell</v>
      </c>
      <c r="L502">
        <f t="shared" si="63"/>
        <v>0</v>
      </c>
      <c r="M502">
        <f t="shared" si="64"/>
        <v>1</v>
      </c>
      <c r="N502">
        <f t="shared" si="69"/>
        <v>0</v>
      </c>
      <c r="O502">
        <f t="shared" si="70"/>
        <v>1661.3906495844626</v>
      </c>
      <c r="P502">
        <f t="shared" si="71"/>
        <v>0</v>
      </c>
      <c r="Q502">
        <f>Q501+(Q501*E502/100)</f>
        <v>1729.0529763362788</v>
      </c>
    </row>
    <row r="503" spans="1:17" x14ac:dyDescent="0.25">
      <c r="A503" s="1">
        <v>45818</v>
      </c>
      <c r="B503">
        <v>0.66084799537369199</v>
      </c>
      <c r="C503">
        <v>0.71794851103548196</v>
      </c>
      <c r="D503">
        <v>0.17973991325594901</v>
      </c>
      <c r="E503">
        <v>-0.44821568635214898</v>
      </c>
      <c r="F503" s="3">
        <v>0.31674326179530699</v>
      </c>
      <c r="G503">
        <f t="shared" si="65"/>
        <v>-0.23697224410048601</v>
      </c>
      <c r="H503" t="str">
        <f>IF(F503&gt;$T$2,"buy",IF(F503&lt;0,"sell","keep"))</f>
        <v>buy</v>
      </c>
      <c r="I503" t="str">
        <f t="shared" si="67"/>
        <v>buy</v>
      </c>
      <c r="J503">
        <f t="shared" si="66"/>
        <v>0</v>
      </c>
      <c r="K503" t="str">
        <f t="shared" si="68"/>
        <v>buy</v>
      </c>
      <c r="L503">
        <f t="shared" si="63"/>
        <v>1</v>
      </c>
      <c r="M503">
        <f t="shared" si="64"/>
        <v>0</v>
      </c>
      <c r="N503">
        <f t="shared" si="69"/>
        <v>0</v>
      </c>
      <c r="O503">
        <f t="shared" si="70"/>
        <v>0</v>
      </c>
      <c r="P503">
        <f t="shared" si="71"/>
        <v>1661.3906495844626</v>
      </c>
      <c r="Q503">
        <f>Q502+(Q502*E503/100)</f>
        <v>1721.3030896710009</v>
      </c>
    </row>
    <row r="504" spans="1:17" x14ac:dyDescent="0.25">
      <c r="A504" s="1">
        <v>45819</v>
      </c>
      <c r="B504">
        <v>-0.36969937413784398</v>
      </c>
      <c r="C504">
        <v>-1.4761441543542599</v>
      </c>
      <c r="D504">
        <v>1.0554111902282499</v>
      </c>
      <c r="E504">
        <v>-0.23697224410048601</v>
      </c>
      <c r="F504" s="3">
        <v>-0.152593076388923</v>
      </c>
      <c r="G504">
        <f t="shared" si="65"/>
        <v>-0.52255917809852503</v>
      </c>
      <c r="H504" t="str">
        <f>IF(F504&gt;$T$2,"buy",IF(F504&lt;0,"sell","keep"))</f>
        <v>sell</v>
      </c>
      <c r="I504" t="str">
        <f t="shared" si="67"/>
        <v>sell</v>
      </c>
      <c r="J504">
        <f t="shared" si="66"/>
        <v>1</v>
      </c>
      <c r="K504" t="str">
        <f t="shared" si="68"/>
        <v>sell</v>
      </c>
      <c r="L504">
        <f t="shared" si="63"/>
        <v>0</v>
      </c>
      <c r="M504">
        <f t="shared" si="64"/>
        <v>1</v>
      </c>
      <c r="N504">
        <f t="shared" si="69"/>
        <v>1</v>
      </c>
      <c r="O504">
        <f t="shared" si="70"/>
        <v>1657.4536148788666</v>
      </c>
      <c r="P504">
        <f t="shared" si="71"/>
        <v>0</v>
      </c>
      <c r="Q504">
        <f>Q503+(Q503*E504/100)</f>
        <v>1717.2240791116365</v>
      </c>
    </row>
    <row r="505" spans="1:17" x14ac:dyDescent="0.25">
      <c r="A505" s="1">
        <v>45820</v>
      </c>
      <c r="B505">
        <v>0.24024523060950301</v>
      </c>
      <c r="C505">
        <v>0.424713873448756</v>
      </c>
      <c r="D505">
        <v>0.48040733032030902</v>
      </c>
      <c r="E505">
        <v>-0.52255917809852503</v>
      </c>
      <c r="F505" s="3">
        <v>0.23603517499674501</v>
      </c>
      <c r="G505">
        <f t="shared" si="65"/>
        <v>-0.62082647946353198</v>
      </c>
      <c r="H505" t="str">
        <f>IF(F505&gt;$T$2,"buy",IF(F505&lt;0,"sell","keep"))</f>
        <v>buy</v>
      </c>
      <c r="I505" t="str">
        <f t="shared" si="67"/>
        <v>buy</v>
      </c>
      <c r="J505">
        <f t="shared" si="66"/>
        <v>0</v>
      </c>
      <c r="K505" t="str">
        <f t="shared" si="68"/>
        <v>buy</v>
      </c>
      <c r="L505">
        <f t="shared" si="63"/>
        <v>1</v>
      </c>
      <c r="M505">
        <f t="shared" si="64"/>
        <v>0</v>
      </c>
      <c r="N505">
        <f t="shared" si="69"/>
        <v>0</v>
      </c>
      <c r="O505">
        <f t="shared" si="70"/>
        <v>0</v>
      </c>
      <c r="P505">
        <f t="shared" si="71"/>
        <v>1657.4536148788666</v>
      </c>
      <c r="Q505">
        <f>Q504+(Q504*E505/100)</f>
        <v>1708.2505670777207</v>
      </c>
    </row>
    <row r="506" spans="1:17" x14ac:dyDescent="0.25">
      <c r="A506" s="1">
        <v>45821</v>
      </c>
      <c r="B506">
        <v>-1.28817197017367</v>
      </c>
      <c r="C506">
        <v>-0.96698151866506599</v>
      </c>
      <c r="D506">
        <v>-0.69639239132456199</v>
      </c>
      <c r="E506">
        <v>-0.62082647946353198</v>
      </c>
      <c r="F506" s="3">
        <v>-0.32574748100335699</v>
      </c>
      <c r="G506">
        <f t="shared" si="65"/>
        <v>0.91302517507782999</v>
      </c>
      <c r="H506" t="str">
        <f>IF(F506&gt;$T$2,"buy",IF(F506&lt;0,"sell","keep"))</f>
        <v>sell</v>
      </c>
      <c r="I506" t="str">
        <f t="shared" si="67"/>
        <v>sell</v>
      </c>
      <c r="J506">
        <f t="shared" si="66"/>
        <v>0</v>
      </c>
      <c r="K506" t="str">
        <f t="shared" si="68"/>
        <v>sell</v>
      </c>
      <c r="L506">
        <f t="shared" si="63"/>
        <v>0</v>
      </c>
      <c r="M506">
        <f t="shared" si="64"/>
        <v>1</v>
      </c>
      <c r="N506">
        <f t="shared" si="69"/>
        <v>0</v>
      </c>
      <c r="O506">
        <f t="shared" si="70"/>
        <v>1647.163703952873</v>
      </c>
      <c r="P506">
        <f t="shared" si="71"/>
        <v>0</v>
      </c>
      <c r="Q506">
        <f>Q505+(Q505*E506/100)</f>
        <v>1697.6452952217162</v>
      </c>
    </row>
    <row r="507" spans="1:17" x14ac:dyDescent="0.25">
      <c r="A507" s="1">
        <v>45824</v>
      </c>
      <c r="B507">
        <v>1.4170898083736001</v>
      </c>
      <c r="C507">
        <v>0.133044630354062</v>
      </c>
      <c r="D507">
        <v>-0.115127912360823</v>
      </c>
      <c r="E507">
        <v>0.91302517507782999</v>
      </c>
      <c r="F507" s="3">
        <v>0.26046373260648298</v>
      </c>
      <c r="G507">
        <f t="shared" si="65"/>
        <v>-0.880949837820865</v>
      </c>
      <c r="H507" t="str">
        <f>IF(F507&gt;$T$2,"buy",IF(F507&lt;0,"sell","keep"))</f>
        <v>buy</v>
      </c>
      <c r="I507" t="str">
        <f t="shared" si="67"/>
        <v>buy</v>
      </c>
      <c r="J507">
        <f t="shared" si="66"/>
        <v>0</v>
      </c>
      <c r="K507" t="str">
        <f t="shared" si="68"/>
        <v>buy</v>
      </c>
      <c r="L507">
        <f t="shared" si="63"/>
        <v>1</v>
      </c>
      <c r="M507">
        <f t="shared" si="64"/>
        <v>0</v>
      </c>
      <c r="N507">
        <f t="shared" si="69"/>
        <v>0</v>
      </c>
      <c r="O507">
        <f t="shared" si="70"/>
        <v>0</v>
      </c>
      <c r="P507">
        <f t="shared" si="71"/>
        <v>1647.163703952873</v>
      </c>
      <c r="Q507">
        <f>Q506+(Q506*E507/100)</f>
        <v>1713.1452241506149</v>
      </c>
    </row>
    <row r="508" spans="1:17" x14ac:dyDescent="0.25">
      <c r="A508" s="1">
        <v>45825</v>
      </c>
      <c r="B508">
        <v>-0.99596368815056902</v>
      </c>
      <c r="C508">
        <v>-1.22160588348563</v>
      </c>
      <c r="D508">
        <v>-2.8188251899859602</v>
      </c>
      <c r="E508">
        <v>-0.880949837820865</v>
      </c>
      <c r="F508" s="3">
        <v>-0.53133089147405899</v>
      </c>
      <c r="G508">
        <f t="shared" si="65"/>
        <v>0.31226819621086299</v>
      </c>
      <c r="H508" t="str">
        <f>IF(F508&gt;$T$2,"buy",IF(F508&lt;0,"sell","keep"))</f>
        <v>sell</v>
      </c>
      <c r="I508" t="str">
        <f t="shared" si="67"/>
        <v>sell</v>
      </c>
      <c r="J508">
        <f t="shared" si="66"/>
        <v>0</v>
      </c>
      <c r="K508" t="str">
        <f t="shared" si="68"/>
        <v>sell</v>
      </c>
      <c r="L508">
        <f t="shared" si="63"/>
        <v>0</v>
      </c>
      <c r="M508">
        <f t="shared" si="64"/>
        <v>1</v>
      </c>
      <c r="N508">
        <f t="shared" si="69"/>
        <v>0</v>
      </c>
      <c r="O508">
        <f t="shared" si="70"/>
        <v>1632.653017974256</v>
      </c>
      <c r="P508">
        <f t="shared" si="71"/>
        <v>0</v>
      </c>
      <c r="Q508">
        <f>Q507+(Q507*E508/100)</f>
        <v>1698.0532740768242</v>
      </c>
    </row>
    <row r="509" spans="1:17" x14ac:dyDescent="0.25">
      <c r="A509" s="1">
        <v>45826</v>
      </c>
      <c r="B509">
        <v>2.8057127549052001E-3</v>
      </c>
      <c r="C509">
        <v>-0.477322227371279</v>
      </c>
      <c r="D509">
        <v>5.3918497304961E-3</v>
      </c>
      <c r="E509">
        <v>0.31226819621086299</v>
      </c>
      <c r="F509" s="3">
        <v>-1.1319899067248101E-2</v>
      </c>
      <c r="G509">
        <f t="shared" si="65"/>
        <v>-2.0422510869648902</v>
      </c>
      <c r="H509" t="str">
        <f>IF(F509&gt;$T$2,"buy",IF(F509&lt;0,"sell","keep"))</f>
        <v>sell</v>
      </c>
      <c r="I509" t="str">
        <f t="shared" si="67"/>
        <v>sell</v>
      </c>
      <c r="J509">
        <f t="shared" si="66"/>
        <v>1</v>
      </c>
      <c r="K509" t="str">
        <f t="shared" si="68"/>
        <v>keep</v>
      </c>
      <c r="L509">
        <f t="shared" si="63"/>
        <v>0</v>
      </c>
      <c r="M509">
        <f t="shared" si="64"/>
        <v>0</v>
      </c>
      <c r="N509">
        <f t="shared" si="69"/>
        <v>0</v>
      </c>
      <c r="O509">
        <f t="shared" si="70"/>
        <v>1632.653017974256</v>
      </c>
      <c r="P509">
        <f t="shared" si="71"/>
        <v>0</v>
      </c>
      <c r="Q509">
        <f>Q508+(Q508*E509/100)</f>
        <v>1703.3557544064834</v>
      </c>
    </row>
    <row r="510" spans="1:17" x14ac:dyDescent="0.25">
      <c r="A510" s="1">
        <v>45831</v>
      </c>
      <c r="B510">
        <v>1.06323545667945</v>
      </c>
      <c r="C510">
        <v>0.85333890915224497</v>
      </c>
      <c r="D510">
        <v>-0.83109234761388195</v>
      </c>
      <c r="E510">
        <v>-2.0422510869648902</v>
      </c>
      <c r="F510" s="3">
        <v>0.290881717010879</v>
      </c>
      <c r="G510">
        <f t="shared" si="65"/>
        <v>0.35945729097621698</v>
      </c>
      <c r="H510" t="str">
        <f>IF(F510&gt;$T$2,"buy",IF(F510&lt;0,"sell","keep"))</f>
        <v>buy</v>
      </c>
      <c r="I510" t="str">
        <f t="shared" si="67"/>
        <v>buy</v>
      </c>
      <c r="J510">
        <f t="shared" si="66"/>
        <v>1</v>
      </c>
      <c r="K510" t="str">
        <f t="shared" si="68"/>
        <v>buy</v>
      </c>
      <c r="L510">
        <f t="shared" si="63"/>
        <v>1</v>
      </c>
      <c r="M510">
        <f t="shared" si="64"/>
        <v>0</v>
      </c>
      <c r="N510">
        <f t="shared" si="69"/>
        <v>1</v>
      </c>
      <c r="O510">
        <f t="shared" si="70"/>
        <v>0</v>
      </c>
      <c r="P510">
        <f t="shared" si="71"/>
        <v>1632.653017974256</v>
      </c>
      <c r="Q510">
        <f>Q509+(Q509*E510/100)</f>
        <v>1668.5689529972378</v>
      </c>
    </row>
    <row r="511" spans="1:17" x14ac:dyDescent="0.25">
      <c r="A511" s="1">
        <v>45832</v>
      </c>
      <c r="B511">
        <v>1.5290282125610599</v>
      </c>
      <c r="C511">
        <v>0.74170139110281097</v>
      </c>
      <c r="D511">
        <v>0.97409831002435099</v>
      </c>
      <c r="E511">
        <v>0.35945729097621698</v>
      </c>
      <c r="F511" s="3">
        <v>0.48254202118948097</v>
      </c>
      <c r="G511">
        <f t="shared" si="65"/>
        <v>-0.286539502200233</v>
      </c>
      <c r="H511" t="str">
        <f>IF(F511&gt;$T$2,"buy",IF(F511&lt;0,"sell","keep"))</f>
        <v>buy</v>
      </c>
      <c r="I511" t="str">
        <f t="shared" si="67"/>
        <v>buy</v>
      </c>
      <c r="J511">
        <f t="shared" si="66"/>
        <v>0</v>
      </c>
      <c r="K511" t="str">
        <f t="shared" si="68"/>
        <v>keep</v>
      </c>
      <c r="L511">
        <f t="shared" si="63"/>
        <v>0</v>
      </c>
      <c r="M511">
        <f t="shared" si="64"/>
        <v>0</v>
      </c>
      <c r="N511">
        <f t="shared" si="69"/>
        <v>0</v>
      </c>
      <c r="O511">
        <f t="shared" si="70"/>
        <v>0</v>
      </c>
      <c r="P511">
        <f t="shared" si="71"/>
        <v>1599.3101439683116</v>
      </c>
      <c r="Q511">
        <f>Q510+(Q510*E511/100)</f>
        <v>1674.566745753752</v>
      </c>
    </row>
    <row r="512" spans="1:17" x14ac:dyDescent="0.25">
      <c r="A512" s="1">
        <v>45833</v>
      </c>
      <c r="B512">
        <v>0.212796744386722</v>
      </c>
      <c r="C512">
        <v>-0.639080584831486</v>
      </c>
      <c r="D512">
        <v>-8.6228625697270994E-2</v>
      </c>
      <c r="E512">
        <v>-0.286539502200233</v>
      </c>
      <c r="F512" s="3">
        <v>-3.46514233973029E-2</v>
      </c>
      <c r="G512">
        <f t="shared" si="65"/>
        <v>-0.40708375425785298</v>
      </c>
      <c r="H512" t="str">
        <f>IF(F512&gt;$T$2,"buy",IF(F512&lt;0,"sell","keep"))</f>
        <v>sell</v>
      </c>
      <c r="I512" t="str">
        <f t="shared" si="67"/>
        <v>sell</v>
      </c>
      <c r="J512">
        <f t="shared" si="66"/>
        <v>1</v>
      </c>
      <c r="K512" t="str">
        <f t="shared" si="68"/>
        <v>sell</v>
      </c>
      <c r="L512">
        <f t="shared" ref="L512:L575" si="72">IF(K512="buy",1,0)</f>
        <v>0</v>
      </c>
      <c r="M512">
        <f t="shared" ref="M512:M575" si="73">IF(K512="sell",1,0)</f>
        <v>1</v>
      </c>
      <c r="N512">
        <f t="shared" si="69"/>
        <v>1</v>
      </c>
      <c r="O512">
        <f t="shared" si="70"/>
        <v>1594.7274886431471</v>
      </c>
      <c r="P512">
        <f t="shared" si="71"/>
        <v>0</v>
      </c>
      <c r="Q512">
        <f>Q511+(Q511*E512/100)</f>
        <v>1669.7684505364587</v>
      </c>
    </row>
    <row r="513" spans="1:17" x14ac:dyDescent="0.25">
      <c r="A513" s="1">
        <v>45834</v>
      </c>
      <c r="B513">
        <v>0.94231170036369605</v>
      </c>
      <c r="C513">
        <v>0.92568264730132899</v>
      </c>
      <c r="D513">
        <v>0.75515795336618097</v>
      </c>
      <c r="E513">
        <v>-0.40708375425785298</v>
      </c>
      <c r="F513" s="3">
        <v>0.43022481222005998</v>
      </c>
      <c r="G513">
        <f t="shared" si="65"/>
        <v>0.88963436048878897</v>
      </c>
      <c r="H513" t="str">
        <f>IF(F513&gt;$T$2,"buy",IF(F513&lt;0,"sell","keep"))</f>
        <v>buy</v>
      </c>
      <c r="I513" t="str">
        <f t="shared" si="67"/>
        <v>buy</v>
      </c>
      <c r="J513">
        <f t="shared" si="66"/>
        <v>1</v>
      </c>
      <c r="K513" t="str">
        <f t="shared" si="68"/>
        <v>buy</v>
      </c>
      <c r="L513">
        <f t="shared" si="72"/>
        <v>1</v>
      </c>
      <c r="M513">
        <f t="shared" si="73"/>
        <v>0</v>
      </c>
      <c r="N513">
        <f t="shared" si="69"/>
        <v>1</v>
      </c>
      <c r="O513">
        <f t="shared" si="70"/>
        <v>0</v>
      </c>
      <c r="P513">
        <f t="shared" si="71"/>
        <v>1594.7274886431471</v>
      </c>
      <c r="Q513">
        <f>Q512+(Q512*E513/100)</f>
        <v>1662.9710944406017</v>
      </c>
    </row>
    <row r="514" spans="1:17" x14ac:dyDescent="0.25">
      <c r="A514" s="1">
        <v>45835</v>
      </c>
      <c r="B514">
        <v>0.38717439779929402</v>
      </c>
      <c r="C514">
        <v>-0.14425054024487199</v>
      </c>
      <c r="D514">
        <v>-2.3984071744077098</v>
      </c>
      <c r="E514">
        <v>0.88963436048878897</v>
      </c>
      <c r="F514" s="3">
        <v>-0.122796837683428</v>
      </c>
      <c r="G514">
        <f t="shared" ref="G514:G577" si="74">E515</f>
        <v>-0.69113661071231702</v>
      </c>
      <c r="H514" t="str">
        <f>IF(F514&gt;$T$2,"buy",IF(F514&lt;0,"sell","keep"))</f>
        <v>sell</v>
      </c>
      <c r="I514" t="str">
        <f t="shared" si="67"/>
        <v>sell</v>
      </c>
      <c r="J514">
        <f t="shared" ref="J514:J577" si="75">IF(OR(AND(F514&lt;0,G514&lt;0),AND(F514&gt;0,G514&gt;0)),1,0)</f>
        <v>1</v>
      </c>
      <c r="K514" t="str">
        <f t="shared" si="68"/>
        <v>sell</v>
      </c>
      <c r="L514">
        <f t="shared" si="72"/>
        <v>0</v>
      </c>
      <c r="M514">
        <f t="shared" si="73"/>
        <v>1</v>
      </c>
      <c r="N514">
        <f t="shared" si="69"/>
        <v>1</v>
      </c>
      <c r="O514">
        <f t="shared" si="70"/>
        <v>1608.9147323382765</v>
      </c>
      <c r="P514">
        <f t="shared" si="71"/>
        <v>0</v>
      </c>
      <c r="Q514">
        <f>Q513+(Q513*E514/100)</f>
        <v>1677.7654567017419</v>
      </c>
    </row>
    <row r="515" spans="1:17" x14ac:dyDescent="0.25">
      <c r="A515" s="1">
        <v>45838</v>
      </c>
      <c r="B515">
        <v>0.64262566186290504</v>
      </c>
      <c r="C515">
        <v>1.16215759246789</v>
      </c>
      <c r="D515">
        <v>1.8155802087683299</v>
      </c>
      <c r="E515">
        <v>-0.69113661071231702</v>
      </c>
      <c r="F515" s="3">
        <v>0.54045562530402202</v>
      </c>
      <c r="G515">
        <f t="shared" si="74"/>
        <v>-1.4638752638796499</v>
      </c>
      <c r="H515" t="str">
        <f>IF(F515&gt;$T$2,"buy",IF(F515&lt;0,"sell","keep"))</f>
        <v>buy</v>
      </c>
      <c r="I515" t="str">
        <f t="shared" ref="I515:I578" si="76">IF(F515&gt;$T$2,"buy",IF(F515&lt;$T$3,"sell","keep"))</f>
        <v>buy</v>
      </c>
      <c r="J515">
        <f t="shared" si="75"/>
        <v>0</v>
      </c>
      <c r="K515" t="str">
        <f t="shared" ref="K515:K578" si="77">IF(AND(I515="sell",P514&lt;&gt;0),"sell",IF(AND(I515="buy",O514&lt;&gt;0),"buy","keep"))</f>
        <v>buy</v>
      </c>
      <c r="L515">
        <f t="shared" si="72"/>
        <v>1</v>
      </c>
      <c r="M515">
        <f t="shared" si="73"/>
        <v>0</v>
      </c>
      <c r="N515">
        <f t="shared" ref="N515:N578" si="78">IF(AND(J515=1,OR(L515=1,M515=1)),1,0)</f>
        <v>0</v>
      </c>
      <c r="O515">
        <f t="shared" si="70"/>
        <v>0</v>
      </c>
      <c r="P515">
        <f t="shared" si="71"/>
        <v>1608.9147323382765</v>
      </c>
      <c r="Q515">
        <f>Q514+(Q514*E515/100)</f>
        <v>1666.1698053885914</v>
      </c>
    </row>
    <row r="516" spans="1:17" x14ac:dyDescent="0.25">
      <c r="A516" s="1">
        <v>45839</v>
      </c>
      <c r="B516">
        <v>-0.885748135945851</v>
      </c>
      <c r="C516">
        <v>1.6134547341913801</v>
      </c>
      <c r="D516">
        <v>2.3542760393664999</v>
      </c>
      <c r="E516">
        <v>-1.4638752638796499</v>
      </c>
      <c r="F516" s="3">
        <v>0.49515581236327899</v>
      </c>
      <c r="G516">
        <f t="shared" si="74"/>
        <v>-1.0228981237097099</v>
      </c>
      <c r="H516" t="str">
        <f>IF(F516&gt;$T$2,"buy",IF(F516&lt;0,"sell","keep"))</f>
        <v>buy</v>
      </c>
      <c r="I516" t="str">
        <f t="shared" si="76"/>
        <v>buy</v>
      </c>
      <c r="J516">
        <f t="shared" si="75"/>
        <v>0</v>
      </c>
      <c r="K516" t="str">
        <f t="shared" si="77"/>
        <v>keep</v>
      </c>
      <c r="L516">
        <f t="shared" si="72"/>
        <v>0</v>
      </c>
      <c r="M516">
        <f t="shared" si="73"/>
        <v>0</v>
      </c>
      <c r="N516">
        <f t="shared" si="78"/>
        <v>0</v>
      </c>
      <c r="O516">
        <f t="shared" ref="O516:O579" si="79">IF(K516="sell",P515+(P515*E516/100),IF(K516="buy",0,O515))</f>
        <v>0</v>
      </c>
      <c r="P516">
        <f t="shared" ref="P516:P579" si="80">IF(K516="buy",O515,IF(K516="sell",0,IF(AND(K516="keep",P515&lt;&gt;0),P515+(P515*E515/100),P515)))</f>
        <v>1597.7949335879425</v>
      </c>
      <c r="Q516">
        <f>Q515+(Q515*E516/100)</f>
        <v>1641.7791577532762</v>
      </c>
    </row>
    <row r="517" spans="1:17" x14ac:dyDescent="0.25">
      <c r="A517" s="1">
        <v>45840</v>
      </c>
      <c r="B517">
        <v>0.728529283193046</v>
      </c>
      <c r="C517">
        <v>8.8099946034025906E-2</v>
      </c>
      <c r="D517">
        <v>0.400020265851108</v>
      </c>
      <c r="E517">
        <v>-1.0228981237097099</v>
      </c>
      <c r="F517" s="3">
        <v>0.203075857393821</v>
      </c>
      <c r="G517">
        <f t="shared" si="74"/>
        <v>1.87008402471593</v>
      </c>
      <c r="H517" t="str">
        <f>IF(F517&gt;$T$2,"buy",IF(F517&lt;0,"sell","keep"))</f>
        <v>buy</v>
      </c>
      <c r="I517" t="str">
        <f t="shared" si="76"/>
        <v>buy</v>
      </c>
      <c r="J517">
        <f t="shared" si="75"/>
        <v>1</v>
      </c>
      <c r="K517" t="str">
        <f t="shared" si="77"/>
        <v>keep</v>
      </c>
      <c r="L517">
        <f t="shared" si="72"/>
        <v>0</v>
      </c>
      <c r="M517">
        <f t="shared" si="73"/>
        <v>0</v>
      </c>
      <c r="N517">
        <f t="shared" si="78"/>
        <v>0</v>
      </c>
      <c r="O517">
        <f t="shared" si="79"/>
        <v>0</v>
      </c>
      <c r="P517">
        <f t="shared" si="80"/>
        <v>1574.4052087876264</v>
      </c>
      <c r="Q517">
        <f>Q516+(Q516*E517/100)</f>
        <v>1624.9854295531609</v>
      </c>
    </row>
    <row r="518" spans="1:17" x14ac:dyDescent="0.25">
      <c r="A518" s="1">
        <v>45841</v>
      </c>
      <c r="B518">
        <v>0.99408694199978298</v>
      </c>
      <c r="C518">
        <v>-0.333221671296068</v>
      </c>
      <c r="D518">
        <v>-0.77063853422046902</v>
      </c>
      <c r="E518">
        <v>1.87008402471593</v>
      </c>
      <c r="F518" s="3">
        <v>5.7674962513214502E-2</v>
      </c>
      <c r="G518">
        <f t="shared" si="74"/>
        <v>-0.19262706166344101</v>
      </c>
      <c r="H518" t="str">
        <f>IF(F518&gt;$T$2,"buy",IF(F518&lt;0,"sell","keep"))</f>
        <v>keep</v>
      </c>
      <c r="I518" t="str">
        <f t="shared" si="76"/>
        <v>sell</v>
      </c>
      <c r="J518">
        <f t="shared" si="75"/>
        <v>0</v>
      </c>
      <c r="K518" t="str">
        <f t="shared" si="77"/>
        <v>sell</v>
      </c>
      <c r="L518">
        <f t="shared" si="72"/>
        <v>0</v>
      </c>
      <c r="M518">
        <f t="shared" si="73"/>
        <v>1</v>
      </c>
      <c r="N518">
        <f t="shared" si="78"/>
        <v>0</v>
      </c>
      <c r="O518">
        <f t="shared" si="79"/>
        <v>1603.8479090814592</v>
      </c>
      <c r="P518">
        <f t="shared" si="80"/>
        <v>0</v>
      </c>
      <c r="Q518">
        <f>Q517+(Q517*E518/100)</f>
        <v>1655.3740224751962</v>
      </c>
    </row>
    <row r="519" spans="1:17" x14ac:dyDescent="0.25">
      <c r="A519" s="1">
        <v>45846</v>
      </c>
      <c r="B519">
        <v>7.3525537468244195E-2</v>
      </c>
      <c r="C519">
        <v>7.6670306166914906E-2</v>
      </c>
      <c r="D519">
        <v>1.1405340908910899</v>
      </c>
      <c r="E519">
        <v>-0.19262706166344101</v>
      </c>
      <c r="F519" s="3">
        <v>0.19234502749988899</v>
      </c>
      <c r="G519">
        <f t="shared" si="74"/>
        <v>1.4475234332385201</v>
      </c>
      <c r="H519" t="str">
        <f>IF(F519&gt;$T$2,"buy",IF(F519&lt;0,"sell","keep"))</f>
        <v>buy</v>
      </c>
      <c r="I519" t="str">
        <f t="shared" si="76"/>
        <v>buy</v>
      </c>
      <c r="J519">
        <f t="shared" si="75"/>
        <v>1</v>
      </c>
      <c r="K519" t="str">
        <f t="shared" si="77"/>
        <v>buy</v>
      </c>
      <c r="L519">
        <f t="shared" si="72"/>
        <v>1</v>
      </c>
      <c r="M519">
        <f t="shared" si="73"/>
        <v>0</v>
      </c>
      <c r="N519">
        <f t="shared" si="78"/>
        <v>1</v>
      </c>
      <c r="O519">
        <f t="shared" si="79"/>
        <v>0</v>
      </c>
      <c r="P519">
        <f t="shared" si="80"/>
        <v>1603.8479090814592</v>
      </c>
      <c r="Q519">
        <f>Q518+(Q518*E519/100)</f>
        <v>1652.1853241361623</v>
      </c>
    </row>
    <row r="520" spans="1:17" x14ac:dyDescent="0.25">
      <c r="A520" s="1">
        <v>45847</v>
      </c>
      <c r="B520">
        <v>0.716493546895136</v>
      </c>
      <c r="C520">
        <v>0.28086767161183901</v>
      </c>
      <c r="D520">
        <v>0.447913651707532</v>
      </c>
      <c r="E520">
        <v>1.4475234332385201</v>
      </c>
      <c r="F520" s="3">
        <v>0.248856241090993</v>
      </c>
      <c r="G520">
        <f t="shared" si="74"/>
        <v>-0.97502938133411299</v>
      </c>
      <c r="H520" t="str">
        <f>IF(F520&gt;$T$2,"buy",IF(F520&lt;0,"sell","keep"))</f>
        <v>buy</v>
      </c>
      <c r="I520" t="str">
        <f t="shared" si="76"/>
        <v>buy</v>
      </c>
      <c r="J520">
        <f t="shared" si="75"/>
        <v>0</v>
      </c>
      <c r="K520" t="str">
        <f t="shared" si="77"/>
        <v>keep</v>
      </c>
      <c r="L520">
        <f t="shared" si="72"/>
        <v>0</v>
      </c>
      <c r="M520">
        <f t="shared" si="73"/>
        <v>0</v>
      </c>
      <c r="N520">
        <f t="shared" si="78"/>
        <v>0</v>
      </c>
      <c r="O520">
        <f t="shared" si="79"/>
        <v>0</v>
      </c>
      <c r="P520">
        <f t="shared" si="80"/>
        <v>1600.758463980645</v>
      </c>
      <c r="Q520">
        <f>Q519+(Q519*E520/100)</f>
        <v>1676.1010938635611</v>
      </c>
    </row>
    <row r="521" spans="1:17" x14ac:dyDescent="0.25">
      <c r="A521" s="1">
        <v>45848</v>
      </c>
      <c r="B521">
        <v>-0.155917475211486</v>
      </c>
      <c r="C521">
        <v>-0.19733336219601699</v>
      </c>
      <c r="D521">
        <v>2.2977692460861099</v>
      </c>
      <c r="E521">
        <v>-0.97502938133411299</v>
      </c>
      <c r="F521" s="3">
        <v>0.215917085803189</v>
      </c>
      <c r="G521">
        <f t="shared" si="74"/>
        <v>0.12007501871620301</v>
      </c>
      <c r="H521" t="str">
        <f>IF(F521&gt;$T$2,"buy",IF(F521&lt;0,"sell","keep"))</f>
        <v>buy</v>
      </c>
      <c r="I521" t="str">
        <f t="shared" si="76"/>
        <v>buy</v>
      </c>
      <c r="J521">
        <f t="shared" si="75"/>
        <v>1</v>
      </c>
      <c r="K521" t="str">
        <f t="shared" si="77"/>
        <v>keep</v>
      </c>
      <c r="L521">
        <f t="shared" si="72"/>
        <v>0</v>
      </c>
      <c r="M521">
        <f t="shared" si="73"/>
        <v>0</v>
      </c>
      <c r="N521">
        <f t="shared" si="78"/>
        <v>0</v>
      </c>
      <c r="O521">
        <f t="shared" si="79"/>
        <v>0</v>
      </c>
      <c r="P521">
        <f t="shared" si="80"/>
        <v>1623.9298178563138</v>
      </c>
      <c r="Q521">
        <f>Q520+(Q520*E521/100)</f>
        <v>1659.758615737529</v>
      </c>
    </row>
    <row r="522" spans="1:17" x14ac:dyDescent="0.25">
      <c r="A522" s="1">
        <v>45849</v>
      </c>
      <c r="B522">
        <v>-0.21314819993974901</v>
      </c>
      <c r="C522">
        <v>-0.32529490630458502</v>
      </c>
      <c r="D522">
        <v>-1.3076930289040001</v>
      </c>
      <c r="E522">
        <v>0.12007501871620301</v>
      </c>
      <c r="F522" s="3">
        <v>-0.12917873634497501</v>
      </c>
      <c r="G522">
        <f t="shared" si="74"/>
        <v>0.19189693857037901</v>
      </c>
      <c r="H522" t="str">
        <f>IF(F522&gt;$T$2,"buy",IF(F522&lt;0,"sell","keep"))</f>
        <v>sell</v>
      </c>
      <c r="I522" t="str">
        <f t="shared" si="76"/>
        <v>sell</v>
      </c>
      <c r="J522">
        <f t="shared" si="75"/>
        <v>0</v>
      </c>
      <c r="K522" t="str">
        <f t="shared" si="77"/>
        <v>sell</v>
      </c>
      <c r="L522">
        <f t="shared" si="72"/>
        <v>0</v>
      </c>
      <c r="M522">
        <f t="shared" si="73"/>
        <v>1</v>
      </c>
      <c r="N522">
        <f t="shared" si="78"/>
        <v>0</v>
      </c>
      <c r="O522">
        <f t="shared" si="79"/>
        <v>1625.8797518890428</v>
      </c>
      <c r="P522">
        <f t="shared" si="80"/>
        <v>0</v>
      </c>
      <c r="Q522">
        <f>Q521+(Q521*E522/100)</f>
        <v>1661.7515712060197</v>
      </c>
    </row>
    <row r="523" spans="1:17" x14ac:dyDescent="0.25">
      <c r="A523" s="1">
        <v>45852</v>
      </c>
      <c r="B523">
        <v>0.329364684365551</v>
      </c>
      <c r="C523">
        <v>-6.3970913159905E-3</v>
      </c>
      <c r="D523">
        <v>-0.483248688758808</v>
      </c>
      <c r="E523">
        <v>0.19189693857037901</v>
      </c>
      <c r="F523" s="3">
        <v>6.6350732594834996E-2</v>
      </c>
      <c r="G523">
        <f t="shared" si="74"/>
        <v>-0.83792742394692699</v>
      </c>
      <c r="H523" t="str">
        <f>IF(F523&gt;$T$2,"buy",IF(F523&lt;0,"sell","keep"))</f>
        <v>keep</v>
      </c>
      <c r="I523" t="str">
        <f t="shared" si="76"/>
        <v>sell</v>
      </c>
      <c r="J523">
        <f t="shared" si="75"/>
        <v>0</v>
      </c>
      <c r="K523" t="str">
        <f t="shared" si="77"/>
        <v>keep</v>
      </c>
      <c r="L523">
        <f t="shared" si="72"/>
        <v>0</v>
      </c>
      <c r="M523">
        <f t="shared" si="73"/>
        <v>0</v>
      </c>
      <c r="N523">
        <f t="shared" si="78"/>
        <v>0</v>
      </c>
      <c r="O523">
        <f t="shared" si="79"/>
        <v>1625.8797518890428</v>
      </c>
      <c r="P523">
        <f t="shared" si="80"/>
        <v>0</v>
      </c>
      <c r="Q523">
        <f>Q522+(Q522*E523/100)</f>
        <v>1664.9404215978093</v>
      </c>
    </row>
    <row r="524" spans="1:17" x14ac:dyDescent="0.25">
      <c r="A524" s="1">
        <v>45853</v>
      </c>
      <c r="B524">
        <v>0.12670393809375199</v>
      </c>
      <c r="C524">
        <v>-1.75349197998578</v>
      </c>
      <c r="D524">
        <v>-1.8380022806237699</v>
      </c>
      <c r="E524">
        <v>-0.83792742394692699</v>
      </c>
      <c r="F524" s="3">
        <v>-0.40824052588819998</v>
      </c>
      <c r="G524">
        <f t="shared" si="74"/>
        <v>-0.19313862842562601</v>
      </c>
      <c r="H524" t="str">
        <f>IF(F524&gt;$T$2,"buy",IF(F524&lt;0,"sell","keep"))</f>
        <v>sell</v>
      </c>
      <c r="I524" t="str">
        <f t="shared" si="76"/>
        <v>sell</v>
      </c>
      <c r="J524">
        <f t="shared" si="75"/>
        <v>1</v>
      </c>
      <c r="K524" t="str">
        <f t="shared" si="77"/>
        <v>keep</v>
      </c>
      <c r="L524">
        <f t="shared" si="72"/>
        <v>0</v>
      </c>
      <c r="M524">
        <f t="shared" si="73"/>
        <v>0</v>
      </c>
      <c r="N524">
        <f t="shared" si="78"/>
        <v>0</v>
      </c>
      <c r="O524">
        <f t="shared" si="79"/>
        <v>1625.8797518890428</v>
      </c>
      <c r="P524">
        <f t="shared" si="80"/>
        <v>0</v>
      </c>
      <c r="Q524">
        <f>Q523+(Q523*E524/100)</f>
        <v>1650.9894292128636</v>
      </c>
    </row>
    <row r="525" spans="1:17" x14ac:dyDescent="0.25">
      <c r="A525" s="1">
        <v>45854</v>
      </c>
      <c r="B525">
        <v>0.102168575161876</v>
      </c>
      <c r="C525">
        <v>-0.19323550953848001</v>
      </c>
      <c r="D525">
        <v>2.2479797024775401</v>
      </c>
      <c r="E525">
        <v>-0.19313862842562601</v>
      </c>
      <c r="F525" s="3">
        <v>0.24059660820305401</v>
      </c>
      <c r="G525">
        <f t="shared" si="74"/>
        <v>0.60474116854678495</v>
      </c>
      <c r="H525" t="str">
        <f>IF(F525&gt;$T$2,"buy",IF(F525&lt;0,"sell","keep"))</f>
        <v>buy</v>
      </c>
      <c r="I525" t="str">
        <f t="shared" si="76"/>
        <v>buy</v>
      </c>
      <c r="J525">
        <f t="shared" si="75"/>
        <v>1</v>
      </c>
      <c r="K525" t="str">
        <f t="shared" si="77"/>
        <v>buy</v>
      </c>
      <c r="L525">
        <f t="shared" si="72"/>
        <v>1</v>
      </c>
      <c r="M525">
        <f t="shared" si="73"/>
        <v>0</v>
      </c>
      <c r="N525">
        <f t="shared" si="78"/>
        <v>1</v>
      </c>
      <c r="O525">
        <f t="shared" si="79"/>
        <v>0</v>
      </c>
      <c r="P525">
        <f t="shared" si="80"/>
        <v>1625.8797518890428</v>
      </c>
      <c r="Q525">
        <f>Q524+(Q524*E525/100)</f>
        <v>1647.8007308738297</v>
      </c>
    </row>
    <row r="526" spans="1:17" x14ac:dyDescent="0.25">
      <c r="A526" s="1">
        <v>45855</v>
      </c>
      <c r="B526">
        <v>0.75554522208896002</v>
      </c>
      <c r="C526">
        <v>0.35242528100736198</v>
      </c>
      <c r="D526">
        <v>0.43026530141088098</v>
      </c>
      <c r="E526">
        <v>0.60474116854678495</v>
      </c>
      <c r="F526" s="3">
        <v>0.262119144690932</v>
      </c>
      <c r="G526">
        <f t="shared" si="74"/>
        <v>0.72132540504903297</v>
      </c>
      <c r="H526" t="str">
        <f>IF(F526&gt;$T$2,"buy",IF(F526&lt;0,"sell","keep"))</f>
        <v>buy</v>
      </c>
      <c r="I526" t="str">
        <f t="shared" si="76"/>
        <v>buy</v>
      </c>
      <c r="J526">
        <f t="shared" si="75"/>
        <v>1</v>
      </c>
      <c r="K526" t="str">
        <f t="shared" si="77"/>
        <v>keep</v>
      </c>
      <c r="L526">
        <f t="shared" si="72"/>
        <v>0</v>
      </c>
      <c r="M526">
        <f t="shared" si="73"/>
        <v>0</v>
      </c>
      <c r="N526">
        <f t="shared" si="78"/>
        <v>0</v>
      </c>
      <c r="O526">
        <f t="shared" si="79"/>
        <v>0</v>
      </c>
      <c r="P526">
        <f t="shared" si="80"/>
        <v>1622.7395500363943</v>
      </c>
      <c r="Q526">
        <f>Q525+(Q525*E526/100)</f>
        <v>1657.7656602690386</v>
      </c>
    </row>
    <row r="527" spans="1:17" x14ac:dyDescent="0.25">
      <c r="A527" s="1">
        <v>45856</v>
      </c>
      <c r="B527">
        <v>-6.7501598054009404E-2</v>
      </c>
      <c r="C527">
        <v>0.806437216014388</v>
      </c>
      <c r="D527">
        <v>-1.1180785742158901</v>
      </c>
      <c r="E527">
        <v>0.72132540504903297</v>
      </c>
      <c r="F527" s="3">
        <v>0.11764611493641999</v>
      </c>
      <c r="G527">
        <f t="shared" si="74"/>
        <v>0.26259396503773802</v>
      </c>
      <c r="H527" t="str">
        <f>IF(F527&gt;$T$2,"buy",IF(F527&lt;0,"sell","keep"))</f>
        <v>keep</v>
      </c>
      <c r="I527" t="str">
        <f t="shared" si="76"/>
        <v>sell</v>
      </c>
      <c r="J527">
        <f t="shared" si="75"/>
        <v>1</v>
      </c>
      <c r="K527" t="str">
        <f t="shared" si="77"/>
        <v>sell</v>
      </c>
      <c r="L527">
        <f t="shared" si="72"/>
        <v>0</v>
      </c>
      <c r="M527">
        <f t="shared" si="73"/>
        <v>1</v>
      </c>
      <c r="N527">
        <f t="shared" si="78"/>
        <v>1</v>
      </c>
      <c r="O527">
        <f t="shared" si="79"/>
        <v>1634.4447826685853</v>
      </c>
      <c r="P527">
        <f t="shared" si="80"/>
        <v>0</v>
      </c>
      <c r="Q527">
        <f>Q526+(Q526*E527/100)</f>
        <v>1669.7235451327381</v>
      </c>
    </row>
    <row r="528" spans="1:17" x14ac:dyDescent="0.25">
      <c r="A528" s="1">
        <v>45859</v>
      </c>
      <c r="B528">
        <v>0.49680253754575898</v>
      </c>
      <c r="C528">
        <v>1.16555789536008</v>
      </c>
      <c r="D528">
        <v>-2.3301207069879002</v>
      </c>
      <c r="E528">
        <v>0.26259396503773802</v>
      </c>
      <c r="F528" s="3">
        <v>0.145372911394786</v>
      </c>
      <c r="G528">
        <f t="shared" si="74"/>
        <v>-1.1666706630161701</v>
      </c>
      <c r="H528" t="str">
        <f>IF(F528&gt;$T$2,"buy",IF(F528&lt;0,"sell","keep"))</f>
        <v>keep</v>
      </c>
      <c r="I528" t="str">
        <f t="shared" si="76"/>
        <v>sell</v>
      </c>
      <c r="J528">
        <f t="shared" si="75"/>
        <v>0</v>
      </c>
      <c r="K528" t="str">
        <f t="shared" si="77"/>
        <v>keep</v>
      </c>
      <c r="L528">
        <f t="shared" si="72"/>
        <v>0</v>
      </c>
      <c r="M528">
        <f t="shared" si="73"/>
        <v>0</v>
      </c>
      <c r="N528">
        <f t="shared" si="78"/>
        <v>0</v>
      </c>
      <c r="O528">
        <f t="shared" si="79"/>
        <v>1634.4447826685853</v>
      </c>
      <c r="P528">
        <f t="shared" si="80"/>
        <v>0</v>
      </c>
      <c r="Q528">
        <f>Q527+(Q527*E528/100)</f>
        <v>1674.1081383950709</v>
      </c>
    </row>
    <row r="529" spans="1:17" x14ac:dyDescent="0.25">
      <c r="A529" s="1">
        <v>45860</v>
      </c>
      <c r="B529">
        <v>-0.50250286669636302</v>
      </c>
      <c r="C529">
        <v>0.33798932764976802</v>
      </c>
      <c r="D529">
        <v>1.2226081900174</v>
      </c>
      <c r="E529">
        <v>-1.1666706630161701</v>
      </c>
      <c r="F529" s="3">
        <v>0.18453672906872001</v>
      </c>
      <c r="G529">
        <f t="shared" si="74"/>
        <v>1.1563560017890699</v>
      </c>
      <c r="H529" t="str">
        <f>IF(F529&gt;$T$2,"buy",IF(F529&lt;0,"sell","keep"))</f>
        <v>buy</v>
      </c>
      <c r="I529" t="str">
        <f t="shared" si="76"/>
        <v>buy</v>
      </c>
      <c r="J529">
        <f t="shared" si="75"/>
        <v>1</v>
      </c>
      <c r="K529" t="str">
        <f t="shared" si="77"/>
        <v>buy</v>
      </c>
      <c r="L529">
        <f t="shared" si="72"/>
        <v>1</v>
      </c>
      <c r="M529">
        <f t="shared" si="73"/>
        <v>0</v>
      </c>
      <c r="N529">
        <f t="shared" si="78"/>
        <v>1</v>
      </c>
      <c r="O529">
        <f t="shared" si="79"/>
        <v>0</v>
      </c>
      <c r="P529">
        <f t="shared" si="80"/>
        <v>1634.4447826685853</v>
      </c>
      <c r="Q529">
        <f>Q528+(Q528*E529/100)</f>
        <v>1654.5768098772494</v>
      </c>
    </row>
    <row r="530" spans="1:17" x14ac:dyDescent="0.25">
      <c r="A530" s="1">
        <v>45861</v>
      </c>
      <c r="B530">
        <v>0.428511435736456</v>
      </c>
      <c r="C530">
        <v>-0.43006496803676902</v>
      </c>
      <c r="D530">
        <v>1.8384847857586299</v>
      </c>
      <c r="E530">
        <v>1.1563560017890699</v>
      </c>
      <c r="F530" s="3">
        <v>0.210140662994002</v>
      </c>
      <c r="G530">
        <f t="shared" si="74"/>
        <v>0.50011687563315999</v>
      </c>
      <c r="H530" t="str">
        <f>IF(F530&gt;$T$2,"buy",IF(F530&lt;0,"sell","keep"))</f>
        <v>buy</v>
      </c>
      <c r="I530" t="str">
        <f t="shared" si="76"/>
        <v>buy</v>
      </c>
      <c r="J530">
        <f t="shared" si="75"/>
        <v>1</v>
      </c>
      <c r="K530" t="str">
        <f t="shared" si="77"/>
        <v>keep</v>
      </c>
      <c r="L530">
        <f t="shared" si="72"/>
        <v>0</v>
      </c>
      <c r="M530">
        <f t="shared" si="73"/>
        <v>0</v>
      </c>
      <c r="N530">
        <f t="shared" si="78"/>
        <v>0</v>
      </c>
      <c r="O530">
        <f t="shared" si="79"/>
        <v>0</v>
      </c>
      <c r="P530">
        <f t="shared" si="80"/>
        <v>1615.3761948859924</v>
      </c>
      <c r="Q530">
        <f>Q529+(Q529*E530/100)</f>
        <v>1673.7096081224752</v>
      </c>
    </row>
    <row r="531" spans="1:17" x14ac:dyDescent="0.25">
      <c r="A531" s="1">
        <v>45862</v>
      </c>
      <c r="B531">
        <v>0.24806997193898001</v>
      </c>
      <c r="C531">
        <v>0.31914957605376698</v>
      </c>
      <c r="D531">
        <v>0.14694854922658801</v>
      </c>
      <c r="E531">
        <v>0.50011687563315999</v>
      </c>
      <c r="F531" s="3">
        <v>0.17302054566812</v>
      </c>
      <c r="G531">
        <f t="shared" si="74"/>
        <v>0.16587605108693201</v>
      </c>
      <c r="H531" t="str">
        <f>IF(F531&gt;$T$2,"buy",IF(F531&lt;0,"sell","keep"))</f>
        <v>buy</v>
      </c>
      <c r="I531" t="str">
        <f t="shared" si="76"/>
        <v>buy</v>
      </c>
      <c r="J531">
        <f t="shared" si="75"/>
        <v>1</v>
      </c>
      <c r="K531" t="str">
        <f t="shared" si="77"/>
        <v>keep</v>
      </c>
      <c r="L531">
        <f t="shared" si="72"/>
        <v>0</v>
      </c>
      <c r="M531">
        <f t="shared" si="73"/>
        <v>0</v>
      </c>
      <c r="N531">
        <f t="shared" si="78"/>
        <v>0</v>
      </c>
      <c r="O531">
        <f t="shared" si="79"/>
        <v>0</v>
      </c>
      <c r="P531">
        <f t="shared" si="80"/>
        <v>1634.0556944670284</v>
      </c>
      <c r="Q531">
        <f>Q530+(Q530*E531/100)</f>
        <v>1682.0801123217893</v>
      </c>
    </row>
    <row r="532" spans="1:17" x14ac:dyDescent="0.25">
      <c r="A532" s="1">
        <v>45863</v>
      </c>
      <c r="B532">
        <v>0.22558636768263901</v>
      </c>
      <c r="C532">
        <v>0.29694050847126602</v>
      </c>
      <c r="D532">
        <v>-0.288213215267207</v>
      </c>
      <c r="E532">
        <v>0.16587605108693201</v>
      </c>
      <c r="F532" s="3">
        <v>0.12612430695556001</v>
      </c>
      <c r="G532">
        <f t="shared" si="74"/>
        <v>-0.28388675321796503</v>
      </c>
      <c r="H532" t="str">
        <f>IF(F532&gt;$T$2,"buy",IF(F532&lt;0,"sell","keep"))</f>
        <v>keep</v>
      </c>
      <c r="I532" t="str">
        <f t="shared" si="76"/>
        <v>sell</v>
      </c>
      <c r="J532">
        <f t="shared" si="75"/>
        <v>0</v>
      </c>
      <c r="K532" t="str">
        <f t="shared" si="77"/>
        <v>sell</v>
      </c>
      <c r="L532">
        <f t="shared" si="72"/>
        <v>0</v>
      </c>
      <c r="M532">
        <f t="shared" si="73"/>
        <v>1</v>
      </c>
      <c r="N532">
        <f t="shared" si="78"/>
        <v>0</v>
      </c>
      <c r="O532">
        <f t="shared" si="79"/>
        <v>1636.7662015255714</v>
      </c>
      <c r="P532">
        <f t="shared" si="80"/>
        <v>0</v>
      </c>
      <c r="Q532">
        <f>Q531+(Q531*E532/100)</f>
        <v>1684.8702803882275</v>
      </c>
    </row>
    <row r="533" spans="1:17" x14ac:dyDescent="0.25">
      <c r="A533" s="1">
        <v>45866</v>
      </c>
      <c r="B533">
        <v>0.36102882725133001</v>
      </c>
      <c r="C533">
        <v>-1.14826695284915</v>
      </c>
      <c r="D533">
        <v>-0.92495462508251902</v>
      </c>
      <c r="E533">
        <v>-0.28388675321796503</v>
      </c>
      <c r="F533" s="3">
        <v>-0.18392071662600301</v>
      </c>
      <c r="G533">
        <f t="shared" si="74"/>
        <v>0.73546274583979798</v>
      </c>
      <c r="H533" t="str">
        <f>IF(F533&gt;$T$2,"buy",IF(F533&lt;0,"sell","keep"))</f>
        <v>sell</v>
      </c>
      <c r="I533" t="str">
        <f t="shared" si="76"/>
        <v>sell</v>
      </c>
      <c r="J533">
        <f t="shared" si="75"/>
        <v>0</v>
      </c>
      <c r="K533" t="str">
        <f t="shared" si="77"/>
        <v>keep</v>
      </c>
      <c r="L533">
        <f t="shared" si="72"/>
        <v>0</v>
      </c>
      <c r="M533">
        <f t="shared" si="73"/>
        <v>0</v>
      </c>
      <c r="N533">
        <f t="shared" si="78"/>
        <v>0</v>
      </c>
      <c r="O533">
        <f t="shared" si="79"/>
        <v>1636.7662015255714</v>
      </c>
      <c r="P533">
        <f t="shared" si="80"/>
        <v>0</v>
      </c>
      <c r="Q533">
        <f>Q532+(Q532*E533/100)</f>
        <v>1680.0871568532989</v>
      </c>
    </row>
    <row r="534" spans="1:17" x14ac:dyDescent="0.25">
      <c r="A534" s="1">
        <v>45867</v>
      </c>
      <c r="B534">
        <v>-0.205378474228601</v>
      </c>
      <c r="C534">
        <v>0.86639064394864396</v>
      </c>
      <c r="D534">
        <v>1.43221291148827</v>
      </c>
      <c r="E534">
        <v>0.73546274583979798</v>
      </c>
      <c r="F534" s="3">
        <v>0.338305354660418</v>
      </c>
      <c r="G534">
        <f t="shared" si="74"/>
        <v>0.353277270638852</v>
      </c>
      <c r="H534" t="str">
        <f>IF(F534&gt;$T$2,"buy",IF(F534&lt;0,"sell","keep"))</f>
        <v>buy</v>
      </c>
      <c r="I534" t="str">
        <f t="shared" si="76"/>
        <v>buy</v>
      </c>
      <c r="J534">
        <f t="shared" si="75"/>
        <v>1</v>
      </c>
      <c r="K534" t="str">
        <f t="shared" si="77"/>
        <v>buy</v>
      </c>
      <c r="L534">
        <f t="shared" si="72"/>
        <v>1</v>
      </c>
      <c r="M534">
        <f t="shared" si="73"/>
        <v>0</v>
      </c>
      <c r="N534">
        <f t="shared" si="78"/>
        <v>1</v>
      </c>
      <c r="O534">
        <f t="shared" si="79"/>
        <v>0</v>
      </c>
      <c r="P534">
        <f t="shared" si="80"/>
        <v>1636.7662015255714</v>
      </c>
      <c r="Q534">
        <f>Q533+(Q533*E534/100)</f>
        <v>1692.4435719895939</v>
      </c>
    </row>
    <row r="535" spans="1:17" x14ac:dyDescent="0.25">
      <c r="A535" s="1">
        <v>45868</v>
      </c>
      <c r="B535">
        <v>0.15921098388198501</v>
      </c>
      <c r="C535">
        <v>-1.11980583914957</v>
      </c>
      <c r="D535">
        <v>-0.99885836193774802</v>
      </c>
      <c r="E535">
        <v>0.353277270638852</v>
      </c>
      <c r="F535" s="3">
        <v>-0.20384928267153701</v>
      </c>
      <c r="G535">
        <f t="shared" si="74"/>
        <v>0.16427996672503301</v>
      </c>
      <c r="H535" t="str">
        <f>IF(F535&gt;$T$2,"buy",IF(F535&lt;0,"sell","keep"))</f>
        <v>sell</v>
      </c>
      <c r="I535" t="str">
        <f t="shared" si="76"/>
        <v>sell</v>
      </c>
      <c r="J535">
        <f t="shared" si="75"/>
        <v>0</v>
      </c>
      <c r="K535" t="str">
        <f t="shared" si="77"/>
        <v>sell</v>
      </c>
      <c r="L535">
        <f t="shared" si="72"/>
        <v>0</v>
      </c>
      <c r="M535">
        <f t="shared" si="73"/>
        <v>1</v>
      </c>
      <c r="N535">
        <f t="shared" si="78"/>
        <v>0</v>
      </c>
      <c r="O535">
        <f t="shared" si="79"/>
        <v>1642.5485244890601</v>
      </c>
      <c r="P535">
        <f t="shared" si="80"/>
        <v>0</v>
      </c>
      <c r="Q535">
        <f>Q534+(Q534*E535/100)</f>
        <v>1698.4225904478214</v>
      </c>
    </row>
    <row r="536" spans="1:17" x14ac:dyDescent="0.25">
      <c r="A536" s="1">
        <v>45869</v>
      </c>
      <c r="B536">
        <v>-0.54525071426479998</v>
      </c>
      <c r="C536">
        <v>-1.28048751955038</v>
      </c>
      <c r="D536">
        <v>-0.153181340257346</v>
      </c>
      <c r="E536">
        <v>0.16427996672503301</v>
      </c>
      <c r="F536" s="3">
        <v>-0.235671144419972</v>
      </c>
      <c r="G536">
        <f t="shared" si="74"/>
        <v>-7.8491060219482698</v>
      </c>
      <c r="H536" t="str">
        <f>IF(F536&gt;$T$2,"buy",IF(F536&lt;0,"sell","keep"))</f>
        <v>sell</v>
      </c>
      <c r="I536" t="str">
        <f t="shared" si="76"/>
        <v>sell</v>
      </c>
      <c r="J536">
        <f t="shared" si="75"/>
        <v>1</v>
      </c>
      <c r="K536" t="str">
        <f t="shared" si="77"/>
        <v>keep</v>
      </c>
      <c r="L536">
        <f t="shared" si="72"/>
        <v>0</v>
      </c>
      <c r="M536">
        <f t="shared" si="73"/>
        <v>0</v>
      </c>
      <c r="N536">
        <f t="shared" si="78"/>
        <v>0</v>
      </c>
      <c r="O536">
        <f t="shared" si="79"/>
        <v>1642.5485244890601</v>
      </c>
      <c r="P536">
        <f t="shared" si="80"/>
        <v>0</v>
      </c>
      <c r="Q536">
        <f>Q535+(Q535*E536/100)</f>
        <v>1701.2127585142596</v>
      </c>
    </row>
    <row r="537" spans="1:17" x14ac:dyDescent="0.25">
      <c r="A537" s="1">
        <v>45870</v>
      </c>
      <c r="B537">
        <v>-1.95885201120454</v>
      </c>
      <c r="C537">
        <v>-0.184675782243337</v>
      </c>
      <c r="D537">
        <v>3.2800755623449001</v>
      </c>
      <c r="E537">
        <v>-7.8491060219482698</v>
      </c>
      <c r="F537" s="3">
        <v>8.7465902858300804E-2</v>
      </c>
      <c r="G537">
        <f t="shared" si="74"/>
        <v>1.65267653424925</v>
      </c>
      <c r="H537" t="str">
        <f>IF(F537&gt;$T$2,"buy",IF(F537&lt;0,"sell","keep"))</f>
        <v>keep</v>
      </c>
      <c r="I537" t="str">
        <f t="shared" si="76"/>
        <v>sell</v>
      </c>
      <c r="J537">
        <f t="shared" si="75"/>
        <v>1</v>
      </c>
      <c r="K537" t="str">
        <f t="shared" si="77"/>
        <v>keep</v>
      </c>
      <c r="L537">
        <f t="shared" si="72"/>
        <v>0</v>
      </c>
      <c r="M537">
        <f t="shared" si="73"/>
        <v>0</v>
      </c>
      <c r="N537">
        <f t="shared" si="78"/>
        <v>0</v>
      </c>
      <c r="O537">
        <f t="shared" si="79"/>
        <v>1642.5485244890601</v>
      </c>
      <c r="P537">
        <f t="shared" si="80"/>
        <v>0</v>
      </c>
      <c r="Q537">
        <f>Q536+(Q536*E537/100)</f>
        <v>1567.6827654395645</v>
      </c>
    </row>
    <row r="538" spans="1:17" x14ac:dyDescent="0.25">
      <c r="A538" s="1">
        <v>45873</v>
      </c>
      <c r="B538">
        <v>1.8683522647077599</v>
      </c>
      <c r="C538">
        <v>1.73918557133991</v>
      </c>
      <c r="D538">
        <v>1.00911984551044</v>
      </c>
      <c r="E538">
        <v>1.65267653424925</v>
      </c>
      <c r="F538" s="3">
        <v>0.71246993334152298</v>
      </c>
      <c r="G538">
        <f t="shared" si="74"/>
        <v>1.55077273382602</v>
      </c>
      <c r="H538" t="str">
        <f>IF(F538&gt;$T$2,"buy",IF(F538&lt;0,"sell","keep"))</f>
        <v>buy</v>
      </c>
      <c r="I538" t="str">
        <f t="shared" si="76"/>
        <v>buy</v>
      </c>
      <c r="J538">
        <f t="shared" si="75"/>
        <v>1</v>
      </c>
      <c r="K538" t="str">
        <f t="shared" si="77"/>
        <v>buy</v>
      </c>
      <c r="L538">
        <f t="shared" si="72"/>
        <v>1</v>
      </c>
      <c r="M538">
        <f t="shared" si="73"/>
        <v>0</v>
      </c>
      <c r="N538">
        <f t="shared" si="78"/>
        <v>1</v>
      </c>
      <c r="O538">
        <f t="shared" si="79"/>
        <v>0</v>
      </c>
      <c r="P538">
        <f t="shared" si="80"/>
        <v>1642.5485244890601</v>
      </c>
      <c r="Q538">
        <f>Q537+(Q537*E538/100)</f>
        <v>1593.591490635454</v>
      </c>
    </row>
    <row r="539" spans="1:17" x14ac:dyDescent="0.25">
      <c r="A539" s="1">
        <v>45874</v>
      </c>
      <c r="B539">
        <v>-0.73332913317489801</v>
      </c>
      <c r="C539">
        <v>0.522035070958626</v>
      </c>
      <c r="D539">
        <v>0.68969228811122096</v>
      </c>
      <c r="E539">
        <v>1.55077273382602</v>
      </c>
      <c r="F539" s="3">
        <v>0.15004749327265901</v>
      </c>
      <c r="G539">
        <f t="shared" si="74"/>
        <v>0.39408830892959601</v>
      </c>
      <c r="H539" t="str">
        <f>IF(F539&gt;$T$2,"buy",IF(F539&lt;0,"sell","keep"))</f>
        <v>buy</v>
      </c>
      <c r="I539" t="str">
        <f t="shared" si="76"/>
        <v>buy</v>
      </c>
      <c r="J539">
        <f t="shared" si="75"/>
        <v>1</v>
      </c>
      <c r="K539" t="str">
        <f t="shared" si="77"/>
        <v>keep</v>
      </c>
      <c r="L539">
        <f t="shared" si="72"/>
        <v>0</v>
      </c>
      <c r="M539">
        <f t="shared" si="73"/>
        <v>0</v>
      </c>
      <c r="N539">
        <f t="shared" si="78"/>
        <v>0</v>
      </c>
      <c r="O539">
        <f t="shared" si="79"/>
        <v>0</v>
      </c>
      <c r="P539">
        <f t="shared" si="80"/>
        <v>1669.6945385169481</v>
      </c>
      <c r="Q539">
        <f>Q538+(Q538*E539/100)</f>
        <v>1618.3044729608002</v>
      </c>
    </row>
    <row r="540" spans="1:17" x14ac:dyDescent="0.25">
      <c r="A540" s="1">
        <v>45875</v>
      </c>
      <c r="B540">
        <v>1.28799763573943</v>
      </c>
      <c r="C540">
        <v>0.349060923894084</v>
      </c>
      <c r="D540">
        <v>-1.1332151210310599</v>
      </c>
      <c r="E540">
        <v>0.39408830892959601</v>
      </c>
      <c r="F540" s="3">
        <v>0.17212032962295801</v>
      </c>
      <c r="G540">
        <f t="shared" si="74"/>
        <v>1.98724584555023</v>
      </c>
      <c r="H540" t="str">
        <f>IF(F540&gt;$T$2,"buy",IF(F540&lt;0,"sell","keep"))</f>
        <v>buy</v>
      </c>
      <c r="I540" t="str">
        <f t="shared" si="76"/>
        <v>buy</v>
      </c>
      <c r="J540">
        <f t="shared" si="75"/>
        <v>1</v>
      </c>
      <c r="K540" t="str">
        <f t="shared" si="77"/>
        <v>keep</v>
      </c>
      <c r="L540">
        <f t="shared" si="72"/>
        <v>0</v>
      </c>
      <c r="M540">
        <f t="shared" si="73"/>
        <v>0</v>
      </c>
      <c r="N540">
        <f t="shared" si="78"/>
        <v>0</v>
      </c>
      <c r="O540">
        <f t="shared" si="79"/>
        <v>0</v>
      </c>
      <c r="P540">
        <f t="shared" si="80"/>
        <v>1695.5877061584511</v>
      </c>
      <c r="Q540">
        <f>Q539+(Q539*E540/100)</f>
        <v>1624.6820216916235</v>
      </c>
    </row>
    <row r="541" spans="1:17" x14ac:dyDescent="0.25">
      <c r="A541" s="1">
        <v>45876</v>
      </c>
      <c r="B541">
        <v>0.31949435802065501</v>
      </c>
      <c r="C541">
        <v>-0.434806779299579</v>
      </c>
      <c r="D541">
        <v>1.3041196720652899</v>
      </c>
      <c r="E541">
        <v>1.98724584555023</v>
      </c>
      <c r="F541" s="3">
        <v>0.13534047255321799</v>
      </c>
      <c r="G541">
        <f t="shared" si="74"/>
        <v>-0.43300530790764102</v>
      </c>
      <c r="H541" t="str">
        <f>IF(F541&gt;$T$2,"buy",IF(F541&lt;0,"sell","keep"))</f>
        <v>keep</v>
      </c>
      <c r="I541" t="str">
        <f t="shared" si="76"/>
        <v>sell</v>
      </c>
      <c r="J541">
        <f t="shared" si="75"/>
        <v>0</v>
      </c>
      <c r="K541" t="str">
        <f t="shared" si="77"/>
        <v>sell</v>
      </c>
      <c r="L541">
        <f t="shared" si="72"/>
        <v>0</v>
      </c>
      <c r="M541">
        <f t="shared" si="73"/>
        <v>1</v>
      </c>
      <c r="N541">
        <f t="shared" si="78"/>
        <v>0</v>
      </c>
      <c r="O541">
        <f t="shared" si="79"/>
        <v>1729.2832024067452</v>
      </c>
      <c r="P541">
        <f t="shared" si="80"/>
        <v>0</v>
      </c>
      <c r="Q541">
        <f>Q540+(Q540*E541/100)</f>
        <v>1656.9684476710918</v>
      </c>
    </row>
    <row r="542" spans="1:17" x14ac:dyDescent="0.25">
      <c r="A542" s="1">
        <v>45877</v>
      </c>
      <c r="B542">
        <v>0.94803205126758805</v>
      </c>
      <c r="C542">
        <v>0.63695288984939502</v>
      </c>
      <c r="D542">
        <v>-0.40732524801078102</v>
      </c>
      <c r="E542">
        <v>-0.43300530790764102</v>
      </c>
      <c r="F542" s="3">
        <v>0.26614302594217398</v>
      </c>
      <c r="G542">
        <f t="shared" si="74"/>
        <v>0.55568868235802404</v>
      </c>
      <c r="H542" t="str">
        <f>IF(F542&gt;$T$2,"buy",IF(F542&lt;0,"sell","keep"))</f>
        <v>buy</v>
      </c>
      <c r="I542" t="str">
        <f t="shared" si="76"/>
        <v>buy</v>
      </c>
      <c r="J542">
        <f t="shared" si="75"/>
        <v>1</v>
      </c>
      <c r="K542" t="str">
        <f t="shared" si="77"/>
        <v>buy</v>
      </c>
      <c r="L542">
        <f t="shared" si="72"/>
        <v>1</v>
      </c>
      <c r="M542">
        <f t="shared" si="73"/>
        <v>0</v>
      </c>
      <c r="N542">
        <f t="shared" si="78"/>
        <v>1</v>
      </c>
      <c r="O542">
        <f t="shared" si="79"/>
        <v>0</v>
      </c>
      <c r="P542">
        <f t="shared" si="80"/>
        <v>1729.2832024067452</v>
      </c>
      <c r="Q542">
        <f>Q541+(Q541*E542/100)</f>
        <v>1649.7936863423211</v>
      </c>
    </row>
    <row r="543" spans="1:17" x14ac:dyDescent="0.25">
      <c r="A543" s="1">
        <v>45880</v>
      </c>
      <c r="B543">
        <v>-0.35846726396044898</v>
      </c>
      <c r="C543">
        <v>-0.43182770028577999</v>
      </c>
      <c r="D543">
        <v>0.29791178575759802</v>
      </c>
      <c r="E543">
        <v>0.55568868235802404</v>
      </c>
      <c r="F543" s="3">
        <v>-3.5762637186060202E-2</v>
      </c>
      <c r="G543">
        <f t="shared" si="74"/>
        <v>1.20134553779853</v>
      </c>
      <c r="H543" t="str">
        <f>IF(F543&gt;$T$2,"buy",IF(F543&lt;0,"sell","keep"))</f>
        <v>sell</v>
      </c>
      <c r="I543" t="str">
        <f t="shared" si="76"/>
        <v>sell</v>
      </c>
      <c r="J543">
        <f t="shared" si="75"/>
        <v>0</v>
      </c>
      <c r="K543" t="str">
        <f t="shared" si="77"/>
        <v>sell</v>
      </c>
      <c r="L543">
        <f t="shared" si="72"/>
        <v>0</v>
      </c>
      <c r="M543">
        <f t="shared" si="73"/>
        <v>1</v>
      </c>
      <c r="N543">
        <f t="shared" si="78"/>
        <v>0</v>
      </c>
      <c r="O543">
        <f t="shared" si="79"/>
        <v>1738.8926334484379</v>
      </c>
      <c r="P543">
        <f t="shared" si="80"/>
        <v>0</v>
      </c>
      <c r="Q543">
        <f>Q542+(Q542*E543/100)</f>
        <v>1658.9614031395827</v>
      </c>
    </row>
    <row r="544" spans="1:17" x14ac:dyDescent="0.25">
      <c r="A544" s="1">
        <v>45881</v>
      </c>
      <c r="B544">
        <v>1.3285725493093501</v>
      </c>
      <c r="C544">
        <v>0.60589776815145302</v>
      </c>
      <c r="D544">
        <v>0</v>
      </c>
      <c r="E544">
        <v>1.20134553779853</v>
      </c>
      <c r="F544" s="3">
        <v>0.34274197435048698</v>
      </c>
      <c r="G544">
        <f t="shared" si="74"/>
        <v>1.30579119422578</v>
      </c>
      <c r="H544" t="str">
        <f>IF(F544&gt;$T$2,"buy",IF(F544&lt;0,"sell","keep"))</f>
        <v>buy</v>
      </c>
      <c r="I544" t="str">
        <f t="shared" si="76"/>
        <v>buy</v>
      </c>
      <c r="J544">
        <f t="shared" si="75"/>
        <v>1</v>
      </c>
      <c r="K544" t="str">
        <f t="shared" si="77"/>
        <v>buy</v>
      </c>
      <c r="L544">
        <f t="shared" si="72"/>
        <v>1</v>
      </c>
      <c r="M544">
        <f t="shared" si="73"/>
        <v>0</v>
      </c>
      <c r="N544">
        <f t="shared" si="78"/>
        <v>1</v>
      </c>
      <c r="O544">
        <f t="shared" si="79"/>
        <v>0</v>
      </c>
      <c r="P544">
        <f t="shared" si="80"/>
        <v>1738.8926334484379</v>
      </c>
      <c r="Q544">
        <f>Q543+(Q543*E544/100)</f>
        <v>1678.8912619299999</v>
      </c>
    </row>
    <row r="545" spans="1:17" x14ac:dyDescent="0.25">
      <c r="A545" s="1">
        <v>45882</v>
      </c>
      <c r="B545">
        <v>4.1275898824077999E-2</v>
      </c>
      <c r="C545">
        <v>0.50714967080560602</v>
      </c>
      <c r="D545">
        <v>1.4246824961428699</v>
      </c>
      <c r="E545">
        <v>1.30579119422578</v>
      </c>
      <c r="F545" s="3">
        <v>0.30764243736546798</v>
      </c>
      <c r="G545">
        <f t="shared" si="74"/>
        <v>0.51558760286809502</v>
      </c>
      <c r="H545" t="str">
        <f>IF(F545&gt;$T$2,"buy",IF(F545&lt;0,"sell","keep"))</f>
        <v>buy</v>
      </c>
      <c r="I545" t="str">
        <f t="shared" si="76"/>
        <v>buy</v>
      </c>
      <c r="J545">
        <f t="shared" si="75"/>
        <v>1</v>
      </c>
      <c r="K545" t="str">
        <f t="shared" si="77"/>
        <v>keep</v>
      </c>
      <c r="L545">
        <f t="shared" si="72"/>
        <v>0</v>
      </c>
      <c r="M545">
        <f t="shared" si="73"/>
        <v>0</v>
      </c>
      <c r="N545">
        <f t="shared" si="78"/>
        <v>0</v>
      </c>
      <c r="O545">
        <f t="shared" si="79"/>
        <v>0</v>
      </c>
      <c r="P545">
        <f t="shared" si="80"/>
        <v>1759.7827425074781</v>
      </c>
      <c r="Q545">
        <f>Q544+(Q544*E545/100)</f>
        <v>1700.8140761889078</v>
      </c>
    </row>
    <row r="546" spans="1:17" x14ac:dyDescent="0.25">
      <c r="A546" s="1">
        <v>45883</v>
      </c>
      <c r="B546">
        <v>-6.9602843668037304E-2</v>
      </c>
      <c r="C546">
        <v>0.42049543106596998</v>
      </c>
      <c r="D546">
        <v>1.59328344407658</v>
      </c>
      <c r="E546">
        <v>0.51558760286809502</v>
      </c>
      <c r="F546" s="3">
        <v>0.29345700201089597</v>
      </c>
      <c r="G546">
        <f t="shared" si="74"/>
        <v>1.1890933632271401</v>
      </c>
      <c r="H546" t="str">
        <f>IF(F546&gt;$T$2,"buy",IF(F546&lt;0,"sell","keep"))</f>
        <v>buy</v>
      </c>
      <c r="I546" t="str">
        <f t="shared" si="76"/>
        <v>buy</v>
      </c>
      <c r="J546">
        <f t="shared" si="75"/>
        <v>1</v>
      </c>
      <c r="K546" t="str">
        <f t="shared" si="77"/>
        <v>keep</v>
      </c>
      <c r="L546">
        <f t="shared" si="72"/>
        <v>0</v>
      </c>
      <c r="M546">
        <f t="shared" si="73"/>
        <v>0</v>
      </c>
      <c r="N546">
        <f t="shared" si="78"/>
        <v>0</v>
      </c>
      <c r="O546">
        <f t="shared" si="79"/>
        <v>0</v>
      </c>
      <c r="P546">
        <f t="shared" si="80"/>
        <v>1782.7618305966457</v>
      </c>
      <c r="Q546">
        <f>Q545+(Q545*E546/100)</f>
        <v>1709.5832627135733</v>
      </c>
    </row>
    <row r="547" spans="1:17" x14ac:dyDescent="0.25">
      <c r="A547" s="1">
        <v>45884</v>
      </c>
      <c r="B547">
        <v>-0.50506428794983005</v>
      </c>
      <c r="C547">
        <v>0.51295125853287804</v>
      </c>
      <c r="D547">
        <v>0.98203094250506295</v>
      </c>
      <c r="E547">
        <v>1.1890933632271401</v>
      </c>
      <c r="F547" s="3">
        <v>0.208978219080175</v>
      </c>
      <c r="G547">
        <f t="shared" si="74"/>
        <v>-1.4285777068748</v>
      </c>
      <c r="H547" t="str">
        <f>IF(F547&gt;$T$2,"buy",IF(F547&lt;0,"sell","keep"))</f>
        <v>buy</v>
      </c>
      <c r="I547" t="str">
        <f t="shared" si="76"/>
        <v>buy</v>
      </c>
      <c r="J547">
        <f t="shared" si="75"/>
        <v>0</v>
      </c>
      <c r="K547" t="str">
        <f t="shared" si="77"/>
        <v>keep</v>
      </c>
      <c r="L547">
        <f t="shared" si="72"/>
        <v>0</v>
      </c>
      <c r="M547">
        <f t="shared" si="73"/>
        <v>0</v>
      </c>
      <c r="N547">
        <f t="shared" si="78"/>
        <v>0</v>
      </c>
      <c r="O547">
        <f t="shared" si="79"/>
        <v>0</v>
      </c>
      <c r="P547">
        <f t="shared" si="80"/>
        <v>1791.9535295838664</v>
      </c>
      <c r="Q547">
        <f>Q546+(Q546*E547/100)</f>
        <v>1729.9118038293425</v>
      </c>
    </row>
    <row r="548" spans="1:17" x14ac:dyDescent="0.25">
      <c r="A548" s="1">
        <v>45887</v>
      </c>
      <c r="B548">
        <v>7.1248655336031003E-3</v>
      </c>
      <c r="C548">
        <v>-0.32702870413899798</v>
      </c>
      <c r="D548">
        <v>-5.8052630687377399E-2</v>
      </c>
      <c r="E548">
        <v>-1.4285777068748</v>
      </c>
      <c r="F548" s="3">
        <v>-1.304147789542E-3</v>
      </c>
      <c r="G548">
        <f t="shared" si="74"/>
        <v>0.350634712854414</v>
      </c>
      <c r="H548" t="str">
        <f>IF(F548&gt;$T$2,"buy",IF(F548&lt;0,"sell","keep"))</f>
        <v>sell</v>
      </c>
      <c r="I548" t="str">
        <f t="shared" si="76"/>
        <v>sell</v>
      </c>
      <c r="J548">
        <f t="shared" si="75"/>
        <v>0</v>
      </c>
      <c r="K548" t="str">
        <f t="shared" si="77"/>
        <v>sell</v>
      </c>
      <c r="L548">
        <f t="shared" si="72"/>
        <v>0</v>
      </c>
      <c r="M548">
        <f t="shared" si="73"/>
        <v>1</v>
      </c>
      <c r="N548">
        <f t="shared" si="78"/>
        <v>0</v>
      </c>
      <c r="O548">
        <f t="shared" si="79"/>
        <v>1766.3540809426752</v>
      </c>
      <c r="P548">
        <f t="shared" si="80"/>
        <v>0</v>
      </c>
      <c r="Q548">
        <f>Q547+(Q547*E548/100)</f>
        <v>1705.1986694512407</v>
      </c>
    </row>
    <row r="549" spans="1:17" x14ac:dyDescent="0.25">
      <c r="A549" s="1">
        <v>45888</v>
      </c>
      <c r="B549">
        <v>-1.3873389864221199</v>
      </c>
      <c r="C549">
        <v>0.29466478036341798</v>
      </c>
      <c r="D549">
        <v>-0.18395636226293799</v>
      </c>
      <c r="E549">
        <v>0.350634712854414</v>
      </c>
      <c r="F549" s="3">
        <v>-5.0401898202437699E-2</v>
      </c>
      <c r="G549">
        <f t="shared" si="74"/>
        <v>0.88516437319805497</v>
      </c>
      <c r="H549" t="str">
        <f>IF(F549&gt;$T$2,"buy",IF(F549&lt;0,"sell","keep"))</f>
        <v>sell</v>
      </c>
      <c r="I549" t="str">
        <f t="shared" si="76"/>
        <v>sell</v>
      </c>
      <c r="J549">
        <f t="shared" si="75"/>
        <v>0</v>
      </c>
      <c r="K549" t="str">
        <f t="shared" si="77"/>
        <v>keep</v>
      </c>
      <c r="L549">
        <f t="shared" si="72"/>
        <v>0</v>
      </c>
      <c r="M549">
        <f t="shared" si="73"/>
        <v>0</v>
      </c>
      <c r="N549">
        <f t="shared" si="78"/>
        <v>0</v>
      </c>
      <c r="O549">
        <f t="shared" si="79"/>
        <v>1766.3540809426752</v>
      </c>
      <c r="P549">
        <f t="shared" si="80"/>
        <v>0</v>
      </c>
      <c r="Q549">
        <f>Q548+(Q548*E549/100)</f>
        <v>1711.1776879094684</v>
      </c>
    </row>
    <row r="550" spans="1:17" x14ac:dyDescent="0.25">
      <c r="A550" s="1">
        <v>45889</v>
      </c>
      <c r="B550">
        <v>-0.57815074281287704</v>
      </c>
      <c r="C550">
        <v>0.50840996362133595</v>
      </c>
      <c r="D550">
        <v>1.43555495880289</v>
      </c>
      <c r="E550">
        <v>0.88516437319805497</v>
      </c>
      <c r="F550" s="3">
        <v>0.23914863202369899</v>
      </c>
      <c r="G550">
        <f t="shared" si="74"/>
        <v>-0.60032816436438297</v>
      </c>
      <c r="H550" t="str">
        <f>IF(F550&gt;$T$2,"buy",IF(F550&lt;0,"sell","keep"))</f>
        <v>buy</v>
      </c>
      <c r="I550" t="str">
        <f t="shared" si="76"/>
        <v>buy</v>
      </c>
      <c r="J550">
        <f t="shared" si="75"/>
        <v>0</v>
      </c>
      <c r="K550" t="str">
        <f t="shared" si="77"/>
        <v>buy</v>
      </c>
      <c r="L550">
        <f t="shared" si="72"/>
        <v>1</v>
      </c>
      <c r="M550">
        <f t="shared" si="73"/>
        <v>0</v>
      </c>
      <c r="N550">
        <f t="shared" si="78"/>
        <v>0</v>
      </c>
      <c r="O550">
        <f t="shared" si="79"/>
        <v>0</v>
      </c>
      <c r="P550">
        <f t="shared" si="80"/>
        <v>1766.3540809426752</v>
      </c>
      <c r="Q550">
        <f>Q549+(Q549*E550/100)</f>
        <v>1726.3244231649574</v>
      </c>
    </row>
    <row r="551" spans="1:17" x14ac:dyDescent="0.25">
      <c r="A551" s="1">
        <v>45890</v>
      </c>
      <c r="B551">
        <v>-0.46018155577471898</v>
      </c>
      <c r="C551">
        <v>-0.34206477501709198</v>
      </c>
      <c r="D551">
        <v>0.16734656145482801</v>
      </c>
      <c r="E551">
        <v>-0.60032816436438297</v>
      </c>
      <c r="F551" s="3">
        <v>-3.7230517677945101E-2</v>
      </c>
      <c r="G551">
        <f t="shared" si="74"/>
        <v>-1.0685228632400401</v>
      </c>
      <c r="H551" t="str">
        <f>IF(F551&gt;$T$2,"buy",IF(F551&lt;0,"sell","keep"))</f>
        <v>sell</v>
      </c>
      <c r="I551" t="str">
        <f t="shared" si="76"/>
        <v>sell</v>
      </c>
      <c r="J551">
        <f t="shared" si="75"/>
        <v>1</v>
      </c>
      <c r="K551" t="str">
        <f t="shared" si="77"/>
        <v>sell</v>
      </c>
      <c r="L551">
        <f t="shared" si="72"/>
        <v>0</v>
      </c>
      <c r="M551">
        <f t="shared" si="73"/>
        <v>1</v>
      </c>
      <c r="N551">
        <f t="shared" si="78"/>
        <v>1</v>
      </c>
      <c r="O551">
        <f t="shared" si="79"/>
        <v>1755.7501599123766</v>
      </c>
      <c r="P551">
        <f t="shared" si="80"/>
        <v>0</v>
      </c>
      <c r="Q551">
        <f>Q550+(Q550*E551/100)</f>
        <v>1715.9608114443972</v>
      </c>
    </row>
    <row r="552" spans="1:17" x14ac:dyDescent="0.25">
      <c r="A552" s="1">
        <v>45891</v>
      </c>
      <c r="B552">
        <v>1.5362982921513799</v>
      </c>
      <c r="C552">
        <v>0.19970970724178999</v>
      </c>
      <c r="D552">
        <v>0.52506448406830497</v>
      </c>
      <c r="E552">
        <v>-1.0685228632400401</v>
      </c>
      <c r="F552" s="3">
        <v>0.33439050237148199</v>
      </c>
      <c r="G552">
        <f t="shared" si="74"/>
        <v>-3.8271919752885601</v>
      </c>
      <c r="H552" t="str">
        <f>IF(F552&gt;$T$2,"buy",IF(F552&lt;0,"sell","keep"))</f>
        <v>buy</v>
      </c>
      <c r="I552" t="str">
        <f t="shared" si="76"/>
        <v>buy</v>
      </c>
      <c r="J552">
        <f t="shared" si="75"/>
        <v>0</v>
      </c>
      <c r="K552" t="str">
        <f t="shared" si="77"/>
        <v>buy</v>
      </c>
      <c r="L552">
        <f t="shared" si="72"/>
        <v>1</v>
      </c>
      <c r="M552">
        <f t="shared" si="73"/>
        <v>0</v>
      </c>
      <c r="N552">
        <f t="shared" si="78"/>
        <v>0</v>
      </c>
      <c r="O552">
        <f t="shared" si="79"/>
        <v>0</v>
      </c>
      <c r="P552">
        <f t="shared" si="80"/>
        <v>1755.7501599123766</v>
      </c>
      <c r="Q552">
        <f>Q551+(Q551*E552/100)</f>
        <v>1697.6253778498744</v>
      </c>
    </row>
    <row r="553" spans="1:17" x14ac:dyDescent="0.25">
      <c r="A553" s="1">
        <v>45894</v>
      </c>
      <c r="B553">
        <v>-0.30857689158465501</v>
      </c>
      <c r="C553">
        <v>-0.793074520986636</v>
      </c>
      <c r="D553">
        <v>-1.4482419569679299</v>
      </c>
      <c r="E553">
        <v>-3.8271919752885601</v>
      </c>
      <c r="F553" s="3">
        <v>-0.26430117204748099</v>
      </c>
      <c r="G553">
        <f t="shared" si="74"/>
        <v>-4.0283148146043999</v>
      </c>
      <c r="H553" t="str">
        <f>IF(F553&gt;$T$2,"buy",IF(F553&lt;0,"sell","keep"))</f>
        <v>sell</v>
      </c>
      <c r="I553" t="str">
        <f t="shared" si="76"/>
        <v>sell</v>
      </c>
      <c r="J553">
        <f t="shared" si="75"/>
        <v>1</v>
      </c>
      <c r="K553" t="str">
        <f t="shared" si="77"/>
        <v>sell</v>
      </c>
      <c r="L553">
        <f t="shared" si="72"/>
        <v>0</v>
      </c>
      <c r="M553">
        <f t="shared" si="73"/>
        <v>1</v>
      </c>
      <c r="N553">
        <f t="shared" si="78"/>
        <v>1</v>
      </c>
      <c r="O553">
        <f t="shared" si="79"/>
        <v>1688.5542306860941</v>
      </c>
      <c r="P553">
        <f t="shared" si="80"/>
        <v>0</v>
      </c>
      <c r="Q553">
        <f>Q552+(Q552*E553/100)</f>
        <v>1632.6539956183419</v>
      </c>
    </row>
    <row r="554" spans="1:17" x14ac:dyDescent="0.25">
      <c r="A554" s="1">
        <v>45895</v>
      </c>
      <c r="B554">
        <v>0.42551587838897098</v>
      </c>
      <c r="C554">
        <v>0.85173220830483398</v>
      </c>
      <c r="D554">
        <v>0.39026329541722499</v>
      </c>
      <c r="E554">
        <v>-4.0283148146043999</v>
      </c>
      <c r="F554" s="3">
        <v>0.31525256579778599</v>
      </c>
      <c r="G554">
        <f t="shared" si="74"/>
        <v>1.5517597922770801</v>
      </c>
      <c r="H554" t="str">
        <f>IF(F554&gt;$T$2,"buy",IF(F554&lt;0,"sell","keep"))</f>
        <v>buy</v>
      </c>
      <c r="I554" t="str">
        <f t="shared" si="76"/>
        <v>buy</v>
      </c>
      <c r="J554">
        <f t="shared" si="75"/>
        <v>1</v>
      </c>
      <c r="K554" t="str">
        <f t="shared" si="77"/>
        <v>buy</v>
      </c>
      <c r="L554">
        <f t="shared" si="72"/>
        <v>1</v>
      </c>
      <c r="M554">
        <f t="shared" si="73"/>
        <v>0</v>
      </c>
      <c r="N554">
        <f t="shared" si="78"/>
        <v>1</v>
      </c>
      <c r="O554">
        <f t="shared" si="79"/>
        <v>0</v>
      </c>
      <c r="P554">
        <f t="shared" si="80"/>
        <v>1688.5542306860941</v>
      </c>
      <c r="Q554">
        <f>Q553+(Q553*E554/100)</f>
        <v>1566.8855528416175</v>
      </c>
    </row>
    <row r="555" spans="1:17" x14ac:dyDescent="0.25">
      <c r="A555" s="1">
        <v>45896</v>
      </c>
      <c r="B555">
        <v>0.17241253345385801</v>
      </c>
      <c r="C555">
        <v>0.16392297016767299</v>
      </c>
      <c r="D555">
        <v>-0.143986944588858</v>
      </c>
      <c r="E555">
        <v>1.5517597922770801</v>
      </c>
      <c r="F555" s="3">
        <v>9.6149362602443694E-2</v>
      </c>
      <c r="G555">
        <f t="shared" si="74"/>
        <v>-5.00917935461253E-2</v>
      </c>
      <c r="H555" t="str">
        <f>IF(F555&gt;$T$2,"buy",IF(F555&lt;0,"sell","keep"))</f>
        <v>keep</v>
      </c>
      <c r="I555" t="str">
        <f t="shared" si="76"/>
        <v>sell</v>
      </c>
      <c r="J555">
        <f t="shared" si="75"/>
        <v>0</v>
      </c>
      <c r="K555" t="str">
        <f t="shared" si="77"/>
        <v>sell</v>
      </c>
      <c r="L555">
        <f t="shared" si="72"/>
        <v>0</v>
      </c>
      <c r="M555">
        <f t="shared" si="73"/>
        <v>1</v>
      </c>
      <c r="N555">
        <f t="shared" si="78"/>
        <v>0</v>
      </c>
      <c r="O555">
        <f t="shared" si="79"/>
        <v>1714.7565363086744</v>
      </c>
      <c r="P555">
        <f t="shared" si="80"/>
        <v>0</v>
      </c>
      <c r="Q555">
        <f>Q554+(Q554*E555/100)</f>
        <v>1591.199852841612</v>
      </c>
    </row>
    <row r="556" spans="1:17" x14ac:dyDescent="0.25">
      <c r="A556" s="1">
        <v>45897</v>
      </c>
      <c r="B556">
        <v>0.583894116511118</v>
      </c>
      <c r="C556">
        <v>-0.116014117756402</v>
      </c>
      <c r="D556">
        <v>-6.7275905151320495E-2</v>
      </c>
      <c r="E556">
        <v>-5.00917935461253E-2</v>
      </c>
      <c r="F556" s="3">
        <v>8.7981596260729905E-2</v>
      </c>
      <c r="G556">
        <f t="shared" si="74"/>
        <v>-0.27569074221768203</v>
      </c>
      <c r="H556" t="str">
        <f>IF(F556&gt;$T$2,"buy",IF(F556&lt;0,"sell","keep"))</f>
        <v>keep</v>
      </c>
      <c r="I556" t="str">
        <f t="shared" si="76"/>
        <v>sell</v>
      </c>
      <c r="J556">
        <f t="shared" si="75"/>
        <v>0</v>
      </c>
      <c r="K556" t="str">
        <f t="shared" si="77"/>
        <v>keep</v>
      </c>
      <c r="L556">
        <f t="shared" si="72"/>
        <v>0</v>
      </c>
      <c r="M556">
        <f t="shared" si="73"/>
        <v>0</v>
      </c>
      <c r="N556">
        <f t="shared" si="78"/>
        <v>0</v>
      </c>
      <c r="O556">
        <f t="shared" si="79"/>
        <v>1714.7565363086744</v>
      </c>
      <c r="P556">
        <f t="shared" si="80"/>
        <v>0</v>
      </c>
      <c r="Q556">
        <f>Q555+(Q555*E556/100)</f>
        <v>1590.4027922964203</v>
      </c>
    </row>
    <row r="557" spans="1:17" x14ac:dyDescent="0.25">
      <c r="A557" s="1">
        <v>45898</v>
      </c>
      <c r="B557">
        <v>-1.2151366420004399</v>
      </c>
      <c r="C557">
        <v>-0.80057637879379295</v>
      </c>
      <c r="D557">
        <v>1.1927587279862899</v>
      </c>
      <c r="E557">
        <v>-0.27569074221768203</v>
      </c>
      <c r="F557" s="3">
        <v>-0.136369976579404</v>
      </c>
      <c r="G557">
        <f t="shared" si="74"/>
        <v>0.33163537139044802</v>
      </c>
      <c r="H557" t="str">
        <f>IF(F557&gt;$T$2,"buy",IF(F557&lt;0,"sell","keep"))</f>
        <v>sell</v>
      </c>
      <c r="I557" t="str">
        <f t="shared" si="76"/>
        <v>sell</v>
      </c>
      <c r="J557">
        <f t="shared" si="75"/>
        <v>0</v>
      </c>
      <c r="K557" t="str">
        <f t="shared" si="77"/>
        <v>keep</v>
      </c>
      <c r="L557">
        <f t="shared" si="72"/>
        <v>0</v>
      </c>
      <c r="M557">
        <f t="shared" si="73"/>
        <v>0</v>
      </c>
      <c r="N557">
        <f t="shared" si="78"/>
        <v>0</v>
      </c>
      <c r="O557">
        <f t="shared" si="79"/>
        <v>1714.7565363086744</v>
      </c>
      <c r="P557">
        <f t="shared" si="80"/>
        <v>0</v>
      </c>
      <c r="Q557">
        <f>Q556+(Q556*E557/100)</f>
        <v>1586.0181990340875</v>
      </c>
    </row>
    <row r="558" spans="1:17" x14ac:dyDescent="0.25">
      <c r="A558" s="1">
        <v>45903</v>
      </c>
      <c r="B558">
        <v>0.79088116621637194</v>
      </c>
      <c r="C558">
        <v>-0.49774493753982302</v>
      </c>
      <c r="D558">
        <v>-2.8306317930681901E-2</v>
      </c>
      <c r="E558">
        <v>0.33163537139044802</v>
      </c>
      <c r="F558" s="3">
        <v>3.2726738843521001E-2</v>
      </c>
      <c r="G558">
        <f t="shared" si="74"/>
        <v>1.2204411896501</v>
      </c>
      <c r="H558" t="str">
        <f>IF(F558&gt;$T$2,"buy",IF(F558&lt;0,"sell","keep"))</f>
        <v>keep</v>
      </c>
      <c r="I558" t="str">
        <f t="shared" si="76"/>
        <v>sell</v>
      </c>
      <c r="J558">
        <f t="shared" si="75"/>
        <v>1</v>
      </c>
      <c r="K558" t="str">
        <f t="shared" si="77"/>
        <v>keep</v>
      </c>
      <c r="L558">
        <f t="shared" si="72"/>
        <v>0</v>
      </c>
      <c r="M558">
        <f t="shared" si="73"/>
        <v>0</v>
      </c>
      <c r="N558">
        <f t="shared" si="78"/>
        <v>0</v>
      </c>
      <c r="O558">
        <f t="shared" si="79"/>
        <v>1714.7565363086744</v>
      </c>
      <c r="P558">
        <f t="shared" si="80"/>
        <v>0</v>
      </c>
      <c r="Q558">
        <f>Q557+(Q557*E558/100)</f>
        <v>1591.2779963787743</v>
      </c>
    </row>
    <row r="559" spans="1:17" x14ac:dyDescent="0.25">
      <c r="A559" s="1">
        <v>45904</v>
      </c>
      <c r="B559">
        <v>0.93175918917607303</v>
      </c>
      <c r="C559">
        <v>0.44867685334029</v>
      </c>
      <c r="D559">
        <v>0.53808932221321903</v>
      </c>
      <c r="E559">
        <v>1.2204411896501</v>
      </c>
      <c r="F559" s="3">
        <v>0.30370915347907701</v>
      </c>
      <c r="G559">
        <f t="shared" si="74"/>
        <v>-0.75358714244879699</v>
      </c>
      <c r="H559" t="str">
        <f>IF(F559&gt;$T$2,"buy",IF(F559&lt;0,"sell","keep"))</f>
        <v>buy</v>
      </c>
      <c r="I559" t="str">
        <f t="shared" si="76"/>
        <v>buy</v>
      </c>
      <c r="J559">
        <f t="shared" si="75"/>
        <v>0</v>
      </c>
      <c r="K559" t="str">
        <f t="shared" si="77"/>
        <v>buy</v>
      </c>
      <c r="L559">
        <f t="shared" si="72"/>
        <v>1</v>
      </c>
      <c r="M559">
        <f t="shared" si="73"/>
        <v>0</v>
      </c>
      <c r="N559">
        <f t="shared" si="78"/>
        <v>0</v>
      </c>
      <c r="O559">
        <f t="shared" si="79"/>
        <v>0</v>
      </c>
      <c r="P559">
        <f t="shared" si="80"/>
        <v>1714.7565363086744</v>
      </c>
      <c r="Q559">
        <f>Q558+(Q558*E559/100)</f>
        <v>1610.6986084884197</v>
      </c>
    </row>
    <row r="560" spans="1:17" x14ac:dyDescent="0.25">
      <c r="A560" s="1">
        <v>45905</v>
      </c>
      <c r="B560">
        <v>8.2214189782381306E-2</v>
      </c>
      <c r="C560">
        <v>-0.60755480458813904</v>
      </c>
      <c r="D560">
        <v>-0.206573204311089</v>
      </c>
      <c r="E560">
        <v>-0.75358714244879699</v>
      </c>
      <c r="F560" s="3">
        <v>-8.1413307995733E-2</v>
      </c>
      <c r="G560">
        <f t="shared" si="74"/>
        <v>0.63275122910786397</v>
      </c>
      <c r="H560" t="str">
        <f>IF(F560&gt;$T$2,"buy",IF(F560&lt;0,"sell","keep"))</f>
        <v>sell</v>
      </c>
      <c r="I560" t="str">
        <f t="shared" si="76"/>
        <v>sell</v>
      </c>
      <c r="J560">
        <f t="shared" si="75"/>
        <v>0</v>
      </c>
      <c r="K560" t="str">
        <f t="shared" si="77"/>
        <v>sell</v>
      </c>
      <c r="L560">
        <f t="shared" si="72"/>
        <v>0</v>
      </c>
      <c r="M560">
        <f t="shared" si="73"/>
        <v>1</v>
      </c>
      <c r="N560">
        <f t="shared" si="78"/>
        <v>0</v>
      </c>
      <c r="O560">
        <f t="shared" si="79"/>
        <v>1701.834351526752</v>
      </c>
      <c r="P560">
        <f t="shared" si="80"/>
        <v>0</v>
      </c>
      <c r="Q560">
        <f>Q559+(Q559*E560/100)</f>
        <v>1598.5605908712494</v>
      </c>
    </row>
    <row r="561" spans="1:17" x14ac:dyDescent="0.25">
      <c r="A561" s="1">
        <v>45908</v>
      </c>
      <c r="B561">
        <v>0.46448201819826401</v>
      </c>
      <c r="C561">
        <v>1.0883451432557301</v>
      </c>
      <c r="D561">
        <v>-1.3031700037812699</v>
      </c>
      <c r="E561">
        <v>0.63275122910786397</v>
      </c>
      <c r="F561" s="3">
        <v>0.21440523431726599</v>
      </c>
      <c r="G561">
        <f t="shared" si="74"/>
        <v>0.226358542221438</v>
      </c>
      <c r="H561" t="str">
        <f>IF(F561&gt;$T$2,"buy",IF(F561&lt;0,"sell","keep"))</f>
        <v>buy</v>
      </c>
      <c r="I561" t="str">
        <f t="shared" si="76"/>
        <v>buy</v>
      </c>
      <c r="J561">
        <f t="shared" si="75"/>
        <v>1</v>
      </c>
      <c r="K561" t="str">
        <f t="shared" si="77"/>
        <v>buy</v>
      </c>
      <c r="L561">
        <f t="shared" si="72"/>
        <v>1</v>
      </c>
      <c r="M561">
        <f t="shared" si="73"/>
        <v>0</v>
      </c>
      <c r="N561">
        <f t="shared" si="78"/>
        <v>1</v>
      </c>
      <c r="O561">
        <f t="shared" si="79"/>
        <v>0</v>
      </c>
      <c r="P561">
        <f t="shared" si="80"/>
        <v>1701.834351526752</v>
      </c>
      <c r="Q561">
        <f>Q560+(Q560*E561/100)</f>
        <v>1608.6755026580211</v>
      </c>
    </row>
    <row r="562" spans="1:17" x14ac:dyDescent="0.25">
      <c r="A562" s="1">
        <v>45909</v>
      </c>
      <c r="B562">
        <v>0.32614686899827799</v>
      </c>
      <c r="C562">
        <v>-0.25072267256133202</v>
      </c>
      <c r="D562">
        <v>0.30030784027517099</v>
      </c>
      <c r="E562">
        <v>0.226358542221438</v>
      </c>
      <c r="F562" s="3">
        <v>6.8441456513597398E-2</v>
      </c>
      <c r="G562">
        <f t="shared" si="74"/>
        <v>0.30113613846174297</v>
      </c>
      <c r="H562" t="str">
        <f>IF(F562&gt;$T$2,"buy",IF(F562&lt;0,"sell","keep"))</f>
        <v>keep</v>
      </c>
      <c r="I562" t="str">
        <f t="shared" si="76"/>
        <v>sell</v>
      </c>
      <c r="J562">
        <f t="shared" si="75"/>
        <v>1</v>
      </c>
      <c r="K562" t="str">
        <f t="shared" si="77"/>
        <v>sell</v>
      </c>
      <c r="L562">
        <f t="shared" si="72"/>
        <v>0</v>
      </c>
      <c r="M562">
        <f t="shared" si="73"/>
        <v>1</v>
      </c>
      <c r="N562">
        <f t="shared" si="78"/>
        <v>1</v>
      </c>
      <c r="O562">
        <f t="shared" si="79"/>
        <v>1705.6865989558917</v>
      </c>
      <c r="P562">
        <f t="shared" si="80"/>
        <v>0</v>
      </c>
      <c r="Q562">
        <f>Q561+(Q561*E562/100)</f>
        <v>1612.3168770749112</v>
      </c>
    </row>
    <row r="563" spans="1:17" x14ac:dyDescent="0.25">
      <c r="A563" s="1">
        <v>45910</v>
      </c>
      <c r="B563">
        <v>3.9718242978969899E-2</v>
      </c>
      <c r="C563">
        <v>-0.15630058467637201</v>
      </c>
      <c r="D563">
        <v>0.57979235028682297</v>
      </c>
      <c r="E563">
        <v>0.30113613846174297</v>
      </c>
      <c r="F563" s="3">
        <v>8.3475484030275202E-2</v>
      </c>
      <c r="G563">
        <f t="shared" si="74"/>
        <v>0.70052231860289105</v>
      </c>
      <c r="H563" t="str">
        <f>IF(F563&gt;$T$2,"buy",IF(F563&lt;0,"sell","keep"))</f>
        <v>keep</v>
      </c>
      <c r="I563" t="str">
        <f t="shared" si="76"/>
        <v>sell</v>
      </c>
      <c r="J563">
        <f t="shared" si="75"/>
        <v>1</v>
      </c>
      <c r="K563" t="str">
        <f t="shared" si="77"/>
        <v>keep</v>
      </c>
      <c r="L563">
        <f t="shared" si="72"/>
        <v>0</v>
      </c>
      <c r="M563">
        <f t="shared" si="73"/>
        <v>0</v>
      </c>
      <c r="N563">
        <f t="shared" si="78"/>
        <v>0</v>
      </c>
      <c r="O563">
        <f t="shared" si="79"/>
        <v>1705.6865989558917</v>
      </c>
      <c r="P563">
        <f t="shared" si="80"/>
        <v>0</v>
      </c>
      <c r="Q563">
        <f>Q562+(Q562*E563/100)</f>
        <v>1617.1721458583015</v>
      </c>
    </row>
    <row r="564" spans="1:17" x14ac:dyDescent="0.25">
      <c r="A564" s="1">
        <v>45911</v>
      </c>
      <c r="B564">
        <v>0.60081930575375198</v>
      </c>
      <c r="C564">
        <v>2.3037859408886199</v>
      </c>
      <c r="D564">
        <v>4.05405900012678</v>
      </c>
      <c r="E564">
        <v>0.70052231860289105</v>
      </c>
      <c r="F564" s="3">
        <v>0.98100962998501096</v>
      </c>
      <c r="G564">
        <f t="shared" si="74"/>
        <v>-9.9381156589672906E-2</v>
      </c>
      <c r="H564" t="str">
        <f>IF(F564&gt;$T$2,"buy",IF(F564&lt;0,"sell","keep"))</f>
        <v>buy</v>
      </c>
      <c r="I564" t="str">
        <f t="shared" si="76"/>
        <v>buy</v>
      </c>
      <c r="J564">
        <f t="shared" si="75"/>
        <v>0</v>
      </c>
      <c r="K564" t="str">
        <f t="shared" si="77"/>
        <v>buy</v>
      </c>
      <c r="L564">
        <f t="shared" si="72"/>
        <v>1</v>
      </c>
      <c r="M564">
        <f t="shared" si="73"/>
        <v>0</v>
      </c>
      <c r="N564">
        <f t="shared" si="78"/>
        <v>0</v>
      </c>
      <c r="O564">
        <f t="shared" si="79"/>
        <v>0</v>
      </c>
      <c r="P564">
        <f t="shared" si="80"/>
        <v>1705.6865989558917</v>
      </c>
      <c r="Q564">
        <f>Q563+(Q563*E564/100)</f>
        <v>1628.5007976702682</v>
      </c>
    </row>
    <row r="565" spans="1:17" x14ac:dyDescent="0.25">
      <c r="A565" s="1">
        <v>45912</v>
      </c>
      <c r="B565">
        <v>0.41524916048603</v>
      </c>
      <c r="C565">
        <v>-0.32051925588911701</v>
      </c>
      <c r="D565">
        <v>-0.85369545309912298</v>
      </c>
      <c r="E565">
        <v>-9.9381156589672906E-2</v>
      </c>
      <c r="F565" s="3">
        <v>-3.97117523104107E-2</v>
      </c>
      <c r="G565">
        <f t="shared" si="74"/>
        <v>0.47252535621076203</v>
      </c>
      <c r="H565" t="str">
        <f>IF(F565&gt;$T$2,"buy",IF(F565&lt;0,"sell","keep"))</f>
        <v>sell</v>
      </c>
      <c r="I565" t="str">
        <f t="shared" si="76"/>
        <v>sell</v>
      </c>
      <c r="J565">
        <f t="shared" si="75"/>
        <v>0</v>
      </c>
      <c r="K565" t="str">
        <f t="shared" si="77"/>
        <v>sell</v>
      </c>
      <c r="L565">
        <f t="shared" si="72"/>
        <v>0</v>
      </c>
      <c r="M565">
        <f t="shared" si="73"/>
        <v>1</v>
      </c>
      <c r="N565">
        <f t="shared" si="78"/>
        <v>0</v>
      </c>
      <c r="O565">
        <f t="shared" si="79"/>
        <v>1703.9914678860544</v>
      </c>
      <c r="P565">
        <f t="shared" si="80"/>
        <v>0</v>
      </c>
      <c r="Q565">
        <f>Q564+(Q564*E565/100)</f>
        <v>1626.8823747424715</v>
      </c>
    </row>
    <row r="566" spans="1:17" x14ac:dyDescent="0.25">
      <c r="A566" s="1">
        <v>45915</v>
      </c>
      <c r="B566">
        <v>0.83674356015763696</v>
      </c>
      <c r="C566">
        <v>-1.1015644325820599</v>
      </c>
      <c r="D566">
        <v>-0.33434277130280898</v>
      </c>
      <c r="E566">
        <v>0.47252535621076203</v>
      </c>
      <c r="F566" s="3">
        <v>-0.104863415584213</v>
      </c>
      <c r="G566">
        <f t="shared" si="74"/>
        <v>-1.7326750903488299</v>
      </c>
      <c r="H566" t="str">
        <f>IF(F566&gt;$T$2,"buy",IF(F566&lt;0,"sell","keep"))</f>
        <v>sell</v>
      </c>
      <c r="I566" t="str">
        <f t="shared" si="76"/>
        <v>sell</v>
      </c>
      <c r="J566">
        <f t="shared" si="75"/>
        <v>1</v>
      </c>
      <c r="K566" t="str">
        <f t="shared" si="77"/>
        <v>keep</v>
      </c>
      <c r="L566">
        <f t="shared" si="72"/>
        <v>0</v>
      </c>
      <c r="M566">
        <f t="shared" si="73"/>
        <v>0</v>
      </c>
      <c r="N566">
        <f t="shared" si="78"/>
        <v>0</v>
      </c>
      <c r="O566">
        <f t="shared" si="79"/>
        <v>1703.9914678860544</v>
      </c>
      <c r="P566">
        <f t="shared" si="80"/>
        <v>0</v>
      </c>
      <c r="Q566">
        <f>Q565+(Q565*E566/100)</f>
        <v>1634.5698064788535</v>
      </c>
    </row>
    <row r="567" spans="1:17" x14ac:dyDescent="0.25">
      <c r="A567" s="1">
        <v>45916</v>
      </c>
      <c r="B567">
        <v>-8.0388055873681294E-2</v>
      </c>
      <c r="C567">
        <v>-1.10335483400076</v>
      </c>
      <c r="D567">
        <v>-0.62037414956542802</v>
      </c>
      <c r="E567">
        <v>-1.7326750903488299</v>
      </c>
      <c r="F567" s="3">
        <v>-0.23980709521494201</v>
      </c>
      <c r="G567">
        <f t="shared" si="74"/>
        <v>-0.32745860356907502</v>
      </c>
      <c r="H567" t="str">
        <f>IF(F567&gt;$T$2,"buy",IF(F567&lt;0,"sell","keep"))</f>
        <v>sell</v>
      </c>
      <c r="I567" t="str">
        <f t="shared" si="76"/>
        <v>sell</v>
      </c>
      <c r="J567">
        <f t="shared" si="75"/>
        <v>1</v>
      </c>
      <c r="K567" t="str">
        <f t="shared" si="77"/>
        <v>keep</v>
      </c>
      <c r="L567">
        <f t="shared" si="72"/>
        <v>0</v>
      </c>
      <c r="M567">
        <f t="shared" si="73"/>
        <v>0</v>
      </c>
      <c r="N567">
        <f t="shared" si="78"/>
        <v>0</v>
      </c>
      <c r="O567">
        <f t="shared" si="79"/>
        <v>1703.9914678860544</v>
      </c>
      <c r="P567">
        <f t="shared" si="80"/>
        <v>0</v>
      </c>
      <c r="Q567">
        <f>Q566+(Q566*E567/100)</f>
        <v>1606.2480226076314</v>
      </c>
    </row>
    <row r="568" spans="1:17" x14ac:dyDescent="0.25">
      <c r="A568" s="1">
        <v>45917</v>
      </c>
      <c r="B568">
        <v>-0.20828881170376001</v>
      </c>
      <c r="C568">
        <v>1.77953592802699</v>
      </c>
      <c r="D568">
        <v>2.1039450931588299</v>
      </c>
      <c r="E568">
        <v>-0.32745860356907502</v>
      </c>
      <c r="F568" s="3">
        <v>0.59503392820974199</v>
      </c>
      <c r="G568">
        <f t="shared" si="74"/>
        <v>2.5277069263607201E-2</v>
      </c>
      <c r="H568" t="str">
        <f>IF(F568&gt;$T$2,"buy",IF(F568&lt;0,"sell","keep"))</f>
        <v>buy</v>
      </c>
      <c r="I568" t="str">
        <f t="shared" si="76"/>
        <v>buy</v>
      </c>
      <c r="J568">
        <f t="shared" si="75"/>
        <v>1</v>
      </c>
      <c r="K568" t="str">
        <f t="shared" si="77"/>
        <v>buy</v>
      </c>
      <c r="L568">
        <f t="shared" si="72"/>
        <v>1</v>
      </c>
      <c r="M568">
        <f t="shared" si="73"/>
        <v>0</v>
      </c>
      <c r="N568">
        <f t="shared" si="78"/>
        <v>1</v>
      </c>
      <c r="O568">
        <f t="shared" si="79"/>
        <v>0</v>
      </c>
      <c r="P568">
        <f t="shared" si="80"/>
        <v>1703.9914678860544</v>
      </c>
      <c r="Q568">
        <f>Q567+(Q567*E568/100)</f>
        <v>1600.9882252629445</v>
      </c>
    </row>
    <row r="569" spans="1:17" x14ac:dyDescent="0.25">
      <c r="A569" s="1">
        <v>45918</v>
      </c>
      <c r="B569">
        <v>0.954442436699798</v>
      </c>
      <c r="C569">
        <v>-0.80439264936818999</v>
      </c>
      <c r="D569">
        <v>0.534402020437729</v>
      </c>
      <c r="E569">
        <v>2.5277069263607201E-2</v>
      </c>
      <c r="F569" s="3">
        <v>3.7720097737297599E-2</v>
      </c>
      <c r="G569">
        <f t="shared" si="74"/>
        <v>0.78321764591360299</v>
      </c>
      <c r="H569" t="str">
        <f>IF(F569&gt;$T$2,"buy",IF(F569&lt;0,"sell","keep"))</f>
        <v>keep</v>
      </c>
      <c r="I569" t="str">
        <f t="shared" si="76"/>
        <v>sell</v>
      </c>
      <c r="J569">
        <f t="shared" si="75"/>
        <v>1</v>
      </c>
      <c r="K569" t="str">
        <f t="shared" si="77"/>
        <v>sell</v>
      </c>
      <c r="L569">
        <f t="shared" si="72"/>
        <v>0</v>
      </c>
      <c r="M569">
        <f t="shared" si="73"/>
        <v>1</v>
      </c>
      <c r="N569">
        <f t="shared" si="78"/>
        <v>1</v>
      </c>
      <c r="O569">
        <f t="shared" si="79"/>
        <v>1704.4221869896378</v>
      </c>
      <c r="P569">
        <f t="shared" si="80"/>
        <v>0</v>
      </c>
      <c r="Q569">
        <f>Q568+(Q568*E569/100)</f>
        <v>1601.3929081655465</v>
      </c>
    </row>
    <row r="570" spans="1:17" x14ac:dyDescent="0.25">
      <c r="A570" s="1">
        <v>45919</v>
      </c>
      <c r="B570">
        <v>0.700716178320681</v>
      </c>
      <c r="C570">
        <v>0.63235445053146899</v>
      </c>
      <c r="D570">
        <v>0.21622704293136</v>
      </c>
      <c r="E570">
        <v>0.78321764591360299</v>
      </c>
      <c r="F570" s="3">
        <v>0.28170310843209101</v>
      </c>
      <c r="G570">
        <f t="shared" si="74"/>
        <v>0.401102656957252</v>
      </c>
      <c r="H570" t="str">
        <f>IF(F570&gt;$T$2,"buy",IF(F570&lt;0,"sell","keep"))</f>
        <v>buy</v>
      </c>
      <c r="I570" t="str">
        <f t="shared" si="76"/>
        <v>buy</v>
      </c>
      <c r="J570">
        <f t="shared" si="75"/>
        <v>1</v>
      </c>
      <c r="K570" t="str">
        <f t="shared" si="77"/>
        <v>buy</v>
      </c>
      <c r="L570">
        <f t="shared" si="72"/>
        <v>1</v>
      </c>
      <c r="M570">
        <f t="shared" si="73"/>
        <v>0</v>
      </c>
      <c r="N570">
        <f t="shared" si="78"/>
        <v>1</v>
      </c>
      <c r="O570">
        <f t="shared" si="79"/>
        <v>0</v>
      </c>
      <c r="P570">
        <f t="shared" si="80"/>
        <v>1704.4221869896378</v>
      </c>
      <c r="Q570">
        <f>Q569+(Q569*E570/100)</f>
        <v>1613.9353000027081</v>
      </c>
    </row>
    <row r="571" spans="1:17" x14ac:dyDescent="0.25">
      <c r="A571" s="1">
        <v>45922</v>
      </c>
      <c r="B571">
        <v>0.54746586467691005</v>
      </c>
      <c r="C571">
        <v>-0.26095677971277298</v>
      </c>
      <c r="D571">
        <v>5.39349047134818E-2</v>
      </c>
      <c r="E571">
        <v>0.401102656957252</v>
      </c>
      <c r="F571" s="3">
        <v>6.6841815337202501E-2</v>
      </c>
      <c r="G571">
        <f t="shared" si="74"/>
        <v>-7.4903320520203195E-2</v>
      </c>
      <c r="H571" t="str">
        <f>IF(F571&gt;$T$2,"buy",IF(F571&lt;0,"sell","keep"))</f>
        <v>keep</v>
      </c>
      <c r="I571" t="str">
        <f t="shared" si="76"/>
        <v>sell</v>
      </c>
      <c r="J571">
        <f t="shared" si="75"/>
        <v>0</v>
      </c>
      <c r="K571" t="str">
        <f t="shared" si="77"/>
        <v>sell</v>
      </c>
      <c r="L571">
        <f t="shared" si="72"/>
        <v>0</v>
      </c>
      <c r="M571">
        <f t="shared" si="73"/>
        <v>1</v>
      </c>
      <c r="N571">
        <f t="shared" si="78"/>
        <v>0</v>
      </c>
      <c r="O571">
        <f t="shared" si="79"/>
        <v>1711.2586696674221</v>
      </c>
      <c r="P571">
        <f t="shared" si="80"/>
        <v>0</v>
      </c>
      <c r="Q571">
        <f>Q570+(Q570*E571/100)</f>
        <v>1620.4088373725899</v>
      </c>
    </row>
    <row r="572" spans="1:17" x14ac:dyDescent="0.25">
      <c r="A572" s="1">
        <v>45923</v>
      </c>
      <c r="B572">
        <v>-0.73058388971851596</v>
      </c>
      <c r="C572">
        <v>0.45629526481147897</v>
      </c>
      <c r="D572">
        <v>8.9924252041794998E-3</v>
      </c>
      <c r="E572">
        <v>-7.4903320520203195E-2</v>
      </c>
      <c r="F572" s="3">
        <v>7.07803613636874E-2</v>
      </c>
      <c r="G572">
        <f t="shared" si="74"/>
        <v>-0.549728181375985</v>
      </c>
      <c r="H572" t="str">
        <f>IF(F572&gt;$T$2,"buy",IF(F572&lt;0,"sell","keep"))</f>
        <v>keep</v>
      </c>
      <c r="I572" t="str">
        <f t="shared" si="76"/>
        <v>sell</v>
      </c>
      <c r="J572">
        <f t="shared" si="75"/>
        <v>0</v>
      </c>
      <c r="K572" t="str">
        <f t="shared" si="77"/>
        <v>keep</v>
      </c>
      <c r="L572">
        <f t="shared" si="72"/>
        <v>0</v>
      </c>
      <c r="M572">
        <f t="shared" si="73"/>
        <v>0</v>
      </c>
      <c r="N572">
        <f t="shared" si="78"/>
        <v>0</v>
      </c>
      <c r="O572">
        <f t="shared" si="79"/>
        <v>1711.2586696674221</v>
      </c>
      <c r="P572">
        <f t="shared" si="80"/>
        <v>0</v>
      </c>
      <c r="Q572">
        <f>Q571+(Q571*E572/100)</f>
        <v>1619.1950973473949</v>
      </c>
    </row>
    <row r="573" spans="1:17" x14ac:dyDescent="0.25">
      <c r="A573" s="1">
        <v>45924</v>
      </c>
      <c r="B573">
        <v>-0.311631732483796</v>
      </c>
      <c r="C573">
        <v>-1.2105711882602099</v>
      </c>
      <c r="D573">
        <v>-1.1769483343934899</v>
      </c>
      <c r="E573">
        <v>-0.549728181375985</v>
      </c>
      <c r="F573" s="3">
        <v>-0.33363586737463902</v>
      </c>
      <c r="G573">
        <f t="shared" si="74"/>
        <v>0.32663585579715199</v>
      </c>
      <c r="H573" t="str">
        <f>IF(F573&gt;$T$2,"buy",IF(F573&lt;0,"sell","keep"))</f>
        <v>sell</v>
      </c>
      <c r="I573" t="str">
        <f t="shared" si="76"/>
        <v>sell</v>
      </c>
      <c r="J573">
        <f t="shared" si="75"/>
        <v>0</v>
      </c>
      <c r="K573" t="str">
        <f t="shared" si="77"/>
        <v>keep</v>
      </c>
      <c r="L573">
        <f t="shared" si="72"/>
        <v>0</v>
      </c>
      <c r="M573">
        <f t="shared" si="73"/>
        <v>0</v>
      </c>
      <c r="N573">
        <f t="shared" si="78"/>
        <v>0</v>
      </c>
      <c r="O573">
        <f t="shared" si="79"/>
        <v>1711.2586696674221</v>
      </c>
      <c r="P573">
        <f t="shared" si="80"/>
        <v>0</v>
      </c>
      <c r="Q573">
        <f>Q572+(Q572*E573/100)</f>
        <v>1610.293925585818</v>
      </c>
    </row>
    <row r="574" spans="1:17" x14ac:dyDescent="0.25">
      <c r="A574" s="1">
        <v>45925</v>
      </c>
      <c r="B574">
        <v>-0.43365013453078299</v>
      </c>
      <c r="C574">
        <v>-7.3814788449821894E-2</v>
      </c>
      <c r="D574">
        <v>-0.65912079902392595</v>
      </c>
      <c r="E574">
        <v>0.32663585579715199</v>
      </c>
      <c r="F574" s="3">
        <v>-6.6033655608589203E-2</v>
      </c>
      <c r="G574">
        <f t="shared" si="74"/>
        <v>1.82819818847259</v>
      </c>
      <c r="H574" t="str">
        <f>IF(F574&gt;$T$2,"buy",IF(F574&lt;0,"sell","keep"))</f>
        <v>sell</v>
      </c>
      <c r="I574" t="str">
        <f t="shared" si="76"/>
        <v>sell</v>
      </c>
      <c r="J574">
        <f t="shared" si="75"/>
        <v>0</v>
      </c>
      <c r="K574" t="str">
        <f t="shared" si="77"/>
        <v>keep</v>
      </c>
      <c r="L574">
        <f t="shared" si="72"/>
        <v>0</v>
      </c>
      <c r="M574">
        <f t="shared" si="73"/>
        <v>0</v>
      </c>
      <c r="N574">
        <f t="shared" si="78"/>
        <v>0</v>
      </c>
      <c r="O574">
        <f t="shared" si="79"/>
        <v>1711.2586696674221</v>
      </c>
      <c r="P574">
        <f t="shared" si="80"/>
        <v>0</v>
      </c>
      <c r="Q574">
        <f>Q573+(Q573*E574/100)</f>
        <v>1615.5537229305048</v>
      </c>
    </row>
    <row r="575" spans="1:17" x14ac:dyDescent="0.25">
      <c r="A575" s="1">
        <v>45926</v>
      </c>
      <c r="B575">
        <v>0.43668363484288197</v>
      </c>
      <c r="C575">
        <v>0.132972524894681</v>
      </c>
      <c r="D575">
        <v>0.94719135111285202</v>
      </c>
      <c r="E575">
        <v>1.82819818847259</v>
      </c>
      <c r="F575" s="3">
        <v>0.217699902237771</v>
      </c>
      <c r="G575">
        <f t="shared" si="74"/>
        <v>-0.24593820584447501</v>
      </c>
      <c r="H575" t="str">
        <f>IF(F575&gt;$T$2,"buy",IF(F575&lt;0,"sell","keep"))</f>
        <v>buy</v>
      </c>
      <c r="I575" t="str">
        <f t="shared" si="76"/>
        <v>buy</v>
      </c>
      <c r="J575">
        <f t="shared" si="75"/>
        <v>0</v>
      </c>
      <c r="K575" t="str">
        <f t="shared" si="77"/>
        <v>buy</v>
      </c>
      <c r="L575">
        <f t="shared" si="72"/>
        <v>1</v>
      </c>
      <c r="M575">
        <f t="shared" si="73"/>
        <v>0</v>
      </c>
      <c r="N575">
        <f t="shared" si="78"/>
        <v>0</v>
      </c>
      <c r="O575">
        <f t="shared" si="79"/>
        <v>0</v>
      </c>
      <c r="P575">
        <f t="shared" si="80"/>
        <v>1711.2586696674221</v>
      </c>
      <c r="Q575">
        <f>Q574+(Q574*E575/100)</f>
        <v>1645.0892468269217</v>
      </c>
    </row>
    <row r="576" spans="1:17" x14ac:dyDescent="0.25">
      <c r="A576" s="1">
        <v>45929</v>
      </c>
      <c r="B576">
        <v>0.43870657759370602</v>
      </c>
      <c r="C576">
        <v>0.43843709092434802</v>
      </c>
      <c r="D576">
        <v>1.1558904718338201</v>
      </c>
      <c r="E576">
        <v>-0.24593820584447501</v>
      </c>
      <c r="F576" s="3">
        <v>0.29764779547867498</v>
      </c>
      <c r="G576">
        <f t="shared" si="74"/>
        <v>0.19723376146161201</v>
      </c>
      <c r="H576" t="str">
        <f>IF(F576&gt;$T$2,"buy",IF(F576&lt;0,"sell","keep"))</f>
        <v>buy</v>
      </c>
      <c r="I576" t="str">
        <f t="shared" si="76"/>
        <v>buy</v>
      </c>
      <c r="J576">
        <f t="shared" si="75"/>
        <v>1</v>
      </c>
      <c r="K576" t="str">
        <f t="shared" si="77"/>
        <v>keep</v>
      </c>
      <c r="L576">
        <f t="shared" ref="L576:L639" si="81">IF(K576="buy",1,0)</f>
        <v>0</v>
      </c>
      <c r="M576">
        <f t="shared" ref="M576:M639" si="82">IF(K576="sell",1,0)</f>
        <v>0</v>
      </c>
      <c r="N576">
        <f t="shared" si="78"/>
        <v>0</v>
      </c>
      <c r="O576">
        <f t="shared" si="79"/>
        <v>0</v>
      </c>
      <c r="P576">
        <f t="shared" si="80"/>
        <v>1742.5438696663621</v>
      </c>
      <c r="Q576">
        <f>Q575+(Q575*E576/100)</f>
        <v>1641.0433438487353</v>
      </c>
    </row>
    <row r="577" spans="1:17" x14ac:dyDescent="0.25">
      <c r="A577" s="1">
        <v>45930</v>
      </c>
      <c r="B577">
        <v>0.27889825665574602</v>
      </c>
      <c r="C577">
        <v>-0.31270224883346298</v>
      </c>
      <c r="D577">
        <v>3.7551405153452202</v>
      </c>
      <c r="E577">
        <v>0.19723376146161201</v>
      </c>
      <c r="F577" s="3">
        <v>0.35473878520975299</v>
      </c>
      <c r="G577">
        <f t="shared" si="74"/>
        <v>0</v>
      </c>
      <c r="H577" t="str">
        <f>IF(F577&gt;$T$2,"buy",IF(F577&lt;0,"sell","keep"))</f>
        <v>buy</v>
      </c>
      <c r="I577" t="str">
        <f t="shared" si="76"/>
        <v>buy</v>
      </c>
      <c r="J577">
        <f t="shared" si="75"/>
        <v>0</v>
      </c>
      <c r="K577" t="str">
        <f t="shared" si="77"/>
        <v>keep</v>
      </c>
      <c r="L577">
        <f t="shared" si="81"/>
        <v>0</v>
      </c>
      <c r="M577">
        <f t="shared" si="82"/>
        <v>0</v>
      </c>
      <c r="N577">
        <f t="shared" si="78"/>
        <v>0</v>
      </c>
      <c r="O577">
        <f t="shared" si="79"/>
        <v>0</v>
      </c>
      <c r="P577">
        <f t="shared" si="80"/>
        <v>1738.2582885372517</v>
      </c>
      <c r="Q577">
        <f>Q576+(Q576*E577/100)</f>
        <v>1644.2800353630234</v>
      </c>
    </row>
    <row r="578" spans="1:17" x14ac:dyDescent="0.25">
      <c r="A578" s="1">
        <v>45931</v>
      </c>
      <c r="B578">
        <v>0.489745496157656</v>
      </c>
      <c r="C578">
        <v>-1.72420941949628</v>
      </c>
      <c r="D578">
        <v>5.5454914800244097</v>
      </c>
      <c r="E578">
        <v>0</v>
      </c>
      <c r="F578" s="3">
        <v>0.23727287218295001</v>
      </c>
      <c r="G578">
        <f t="shared" ref="G578:G641" si="83">E579</f>
        <v>-0.19684551564682601</v>
      </c>
      <c r="H578" t="str">
        <f>IF(F578&gt;$T$2,"buy",IF(F578&lt;0,"sell","keep"))</f>
        <v>buy</v>
      </c>
      <c r="I578" t="str">
        <f t="shared" si="76"/>
        <v>buy</v>
      </c>
      <c r="J578">
        <f t="shared" ref="J578:J641" si="84">IF(OR(AND(F578&lt;0,G578&lt;0),AND(F578&gt;0,G578&gt;0)),1,0)</f>
        <v>0</v>
      </c>
      <c r="K578" t="str">
        <f t="shared" si="77"/>
        <v>keep</v>
      </c>
      <c r="L578">
        <f t="shared" si="81"/>
        <v>0</v>
      </c>
      <c r="M578">
        <f t="shared" si="82"/>
        <v>0</v>
      </c>
      <c r="N578">
        <f t="shared" si="78"/>
        <v>0</v>
      </c>
      <c r="O578">
        <f t="shared" si="79"/>
        <v>0</v>
      </c>
      <c r="P578">
        <f t="shared" si="80"/>
        <v>1741.6867207436519</v>
      </c>
      <c r="Q578">
        <f>Q577+(Q577*E578/100)</f>
        <v>1644.2800353630234</v>
      </c>
    </row>
    <row r="579" spans="1:17" x14ac:dyDescent="0.25">
      <c r="A579" s="1">
        <v>45932</v>
      </c>
      <c r="B579">
        <v>0.37055325073791501</v>
      </c>
      <c r="C579">
        <v>0.57197029297712998</v>
      </c>
      <c r="D579">
        <v>-3.1999396987766202</v>
      </c>
      <c r="E579">
        <v>-0.19684551564682601</v>
      </c>
      <c r="F579" s="3">
        <v>-5.4030302109389403E-2</v>
      </c>
      <c r="G579">
        <f t="shared" si="83"/>
        <v>-0.44378771962840702</v>
      </c>
      <c r="H579" t="str">
        <f>IF(F579&gt;$T$2,"buy",IF(F579&lt;0,"sell","keep"))</f>
        <v>sell</v>
      </c>
      <c r="I579" t="str">
        <f t="shared" ref="I579:I642" si="85">IF(F579&gt;$T$2,"buy",IF(F579&lt;$T$3,"sell","keep"))</f>
        <v>sell</v>
      </c>
      <c r="J579">
        <f t="shared" si="84"/>
        <v>1</v>
      </c>
      <c r="K579" t="str">
        <f t="shared" ref="K579:K642" si="86">IF(AND(I579="sell",P578&lt;&gt;0),"sell",IF(AND(I579="buy",O578&lt;&gt;0),"buy","keep"))</f>
        <v>sell</v>
      </c>
      <c r="L579">
        <f t="shared" si="81"/>
        <v>0</v>
      </c>
      <c r="M579">
        <f t="shared" si="82"/>
        <v>1</v>
      </c>
      <c r="N579">
        <f t="shared" ref="N579:N642" si="87">IF(AND(J579=1,OR(L579=1,M579=1)),1,0)</f>
        <v>1</v>
      </c>
      <c r="O579">
        <f t="shared" si="79"/>
        <v>1738.2582885372517</v>
      </c>
      <c r="P579">
        <f t="shared" si="80"/>
        <v>0</v>
      </c>
      <c r="Q579">
        <f>Q578+(Q578*E579/100)</f>
        <v>1641.0433438487353</v>
      </c>
    </row>
    <row r="580" spans="1:17" x14ac:dyDescent="0.25">
      <c r="A580" s="1">
        <v>45933</v>
      </c>
      <c r="B580">
        <v>-0.43080893956599597</v>
      </c>
      <c r="C580">
        <v>-0.58575869523689295</v>
      </c>
      <c r="D580">
        <v>-1.12021589877465</v>
      </c>
      <c r="E580">
        <v>-0.44378771962840702</v>
      </c>
      <c r="F580" s="3">
        <v>-0.20729467665735399</v>
      </c>
      <c r="G580">
        <f t="shared" si="83"/>
        <v>-2.3278910761309799</v>
      </c>
      <c r="H580" t="str">
        <f>IF(F580&gt;$T$2,"buy",IF(F580&lt;0,"sell","keep"))</f>
        <v>sell</v>
      </c>
      <c r="I580" t="str">
        <f t="shared" si="85"/>
        <v>sell</v>
      </c>
      <c r="J580">
        <f t="shared" si="84"/>
        <v>1</v>
      </c>
      <c r="K580" t="str">
        <f t="shared" si="86"/>
        <v>keep</v>
      </c>
      <c r="L580">
        <f t="shared" si="81"/>
        <v>0</v>
      </c>
      <c r="M580">
        <f t="shared" si="82"/>
        <v>0</v>
      </c>
      <c r="N580">
        <f t="shared" si="87"/>
        <v>0</v>
      </c>
      <c r="O580">
        <f t="shared" ref="O580:O643" si="88">IF(K580="sell",P579+(P579*E580/100),IF(K580="buy",0,O579))</f>
        <v>1738.2582885372517</v>
      </c>
      <c r="P580">
        <f t="shared" ref="P580:P643" si="89">IF(K580="buy",O579,IF(K580="sell",0,IF(AND(K580="keep",P579&lt;&gt;0),P579+(P579*E579/100),P579)))</f>
        <v>0</v>
      </c>
      <c r="Q580">
        <f>Q579+(Q579*E580/100)</f>
        <v>1633.7605950149552</v>
      </c>
    </row>
    <row r="581" spans="1:17" x14ac:dyDescent="0.25">
      <c r="A581" s="1">
        <v>45936</v>
      </c>
      <c r="B581">
        <v>0.77884595229731302</v>
      </c>
      <c r="C581">
        <v>0.389940994993343</v>
      </c>
      <c r="D581">
        <v>-1.5903549055233099</v>
      </c>
      <c r="E581">
        <v>-2.3278910761309799</v>
      </c>
      <c r="F581" s="3">
        <v>7.9490065550116298E-2</v>
      </c>
      <c r="G581">
        <f t="shared" si="83"/>
        <v>-0.76064717927597503</v>
      </c>
      <c r="H581" t="str">
        <f>IF(F581&gt;$T$2,"buy",IF(F581&lt;0,"sell","keep"))</f>
        <v>keep</v>
      </c>
      <c r="I581" t="str">
        <f t="shared" si="85"/>
        <v>sell</v>
      </c>
      <c r="J581">
        <f t="shared" si="84"/>
        <v>0</v>
      </c>
      <c r="K581" t="str">
        <f t="shared" si="86"/>
        <v>keep</v>
      </c>
      <c r="L581">
        <f t="shared" si="81"/>
        <v>0</v>
      </c>
      <c r="M581">
        <f t="shared" si="82"/>
        <v>0</v>
      </c>
      <c r="N581">
        <f t="shared" si="87"/>
        <v>0</v>
      </c>
      <c r="O581">
        <f t="shared" si="88"/>
        <v>1738.2582885372517</v>
      </c>
      <c r="P581">
        <f t="shared" si="89"/>
        <v>0</v>
      </c>
      <c r="Q581">
        <f>Q580+(Q580*E581/100)</f>
        <v>1595.7284279182577</v>
      </c>
    </row>
    <row r="582" spans="1:17" x14ac:dyDescent="0.25">
      <c r="A582" s="1">
        <v>45937</v>
      </c>
      <c r="B582">
        <v>-0.55379523517942097</v>
      </c>
      <c r="C582">
        <v>0.38843943574171602</v>
      </c>
      <c r="D582">
        <v>1.14687427712529</v>
      </c>
      <c r="E582">
        <v>-0.76064717927597503</v>
      </c>
      <c r="F582" s="3">
        <v>0.17356157017527801</v>
      </c>
      <c r="G582">
        <f t="shared" si="83"/>
        <v>1.76290866675061</v>
      </c>
      <c r="H582" t="str">
        <f>IF(F582&gt;$T$2,"buy",IF(F582&lt;0,"sell","keep"))</f>
        <v>buy</v>
      </c>
      <c r="I582" t="str">
        <f t="shared" si="85"/>
        <v>buy</v>
      </c>
      <c r="J582">
        <f t="shared" si="84"/>
        <v>1</v>
      </c>
      <c r="K582" t="str">
        <f t="shared" si="86"/>
        <v>buy</v>
      </c>
      <c r="L582">
        <f t="shared" si="81"/>
        <v>1</v>
      </c>
      <c r="M582">
        <f t="shared" si="82"/>
        <v>0</v>
      </c>
      <c r="N582">
        <f t="shared" si="87"/>
        <v>1</v>
      </c>
      <c r="O582">
        <f t="shared" si="88"/>
        <v>0</v>
      </c>
      <c r="P582">
        <f t="shared" si="89"/>
        <v>1738.2582885372517</v>
      </c>
      <c r="Q582">
        <f>Q581+(Q581*E582/100)</f>
        <v>1583.5905646423926</v>
      </c>
    </row>
    <row r="583" spans="1:17" x14ac:dyDescent="0.25">
      <c r="A583" s="1">
        <v>45938</v>
      </c>
      <c r="B583">
        <v>1.1931800401283099</v>
      </c>
      <c r="C583">
        <v>-0.54000487610220604</v>
      </c>
      <c r="D583">
        <v>-0.68290386819385096</v>
      </c>
      <c r="E583">
        <v>1.76290866675061</v>
      </c>
      <c r="F583" s="3">
        <v>6.1185751085605297E-3</v>
      </c>
      <c r="G583">
        <f t="shared" si="83"/>
        <v>-7.5326619670767994E-2</v>
      </c>
      <c r="H583" t="str">
        <f>IF(F583&gt;$T$2,"buy",IF(F583&lt;0,"sell","keep"))</f>
        <v>keep</v>
      </c>
      <c r="I583" t="str">
        <f t="shared" si="85"/>
        <v>sell</v>
      </c>
      <c r="J583">
        <f t="shared" si="84"/>
        <v>0</v>
      </c>
      <c r="K583" t="str">
        <f t="shared" si="86"/>
        <v>sell</v>
      </c>
      <c r="L583">
        <f t="shared" si="81"/>
        <v>0</v>
      </c>
      <c r="M583">
        <f t="shared" si="82"/>
        <v>1</v>
      </c>
      <c r="N583">
        <f t="shared" si="87"/>
        <v>0</v>
      </c>
      <c r="O583">
        <f t="shared" si="88"/>
        <v>1768.9021945563857</v>
      </c>
      <c r="P583">
        <f t="shared" si="89"/>
        <v>0</v>
      </c>
      <c r="Q583">
        <f>Q582+(Q582*E583/100)</f>
        <v>1611.5078199523182</v>
      </c>
    </row>
    <row r="584" spans="1:17" x14ac:dyDescent="0.25">
      <c r="A584" s="1">
        <v>45939</v>
      </c>
      <c r="B584">
        <v>-0.15292212890665099</v>
      </c>
      <c r="C584">
        <v>-2.0669845921086498</v>
      </c>
      <c r="D584">
        <v>-0.23784694946430401</v>
      </c>
      <c r="E584">
        <v>-7.5326619670767994E-2</v>
      </c>
      <c r="F584" s="3">
        <v>-0.41676245518530503</v>
      </c>
      <c r="G584">
        <f t="shared" si="83"/>
        <v>-0.60300971952294002</v>
      </c>
      <c r="H584" t="str">
        <f>IF(F584&gt;$T$2,"buy",IF(F584&lt;0,"sell","keep"))</f>
        <v>sell</v>
      </c>
      <c r="I584" t="str">
        <f t="shared" si="85"/>
        <v>sell</v>
      </c>
      <c r="J584">
        <f t="shared" si="84"/>
        <v>1</v>
      </c>
      <c r="K584" t="str">
        <f t="shared" si="86"/>
        <v>keep</v>
      </c>
      <c r="L584">
        <f t="shared" si="81"/>
        <v>0</v>
      </c>
      <c r="M584">
        <f t="shared" si="82"/>
        <v>0</v>
      </c>
      <c r="N584">
        <f t="shared" si="87"/>
        <v>0</v>
      </c>
      <c r="O584">
        <f t="shared" si="88"/>
        <v>1768.9021945563857</v>
      </c>
      <c r="P584">
        <f t="shared" si="89"/>
        <v>0</v>
      </c>
      <c r="Q584">
        <f>Q583+(Q583*E584/100)</f>
        <v>1610.293925585818</v>
      </c>
    </row>
    <row r="585" spans="1:17" x14ac:dyDescent="0.25">
      <c r="A585" s="1">
        <v>45940</v>
      </c>
      <c r="B585">
        <v>-3.4920439013412001</v>
      </c>
      <c r="C585">
        <v>-0.94727207343758801</v>
      </c>
      <c r="D585">
        <v>-8.2368041226865696E-2</v>
      </c>
      <c r="E585">
        <v>-0.60300971952294002</v>
      </c>
      <c r="F585" s="3">
        <v>-0.52190272447750796</v>
      </c>
      <c r="G585">
        <f t="shared" si="83"/>
        <v>-0.126398003088978</v>
      </c>
      <c r="H585" t="str">
        <f>IF(F585&gt;$T$2,"buy",IF(F585&lt;0,"sell","keep"))</f>
        <v>sell</v>
      </c>
      <c r="I585" t="str">
        <f t="shared" si="85"/>
        <v>sell</v>
      </c>
      <c r="J585">
        <f t="shared" si="84"/>
        <v>1</v>
      </c>
      <c r="K585" t="str">
        <f t="shared" si="86"/>
        <v>keep</v>
      </c>
      <c r="L585">
        <f t="shared" si="81"/>
        <v>0</v>
      </c>
      <c r="M585">
        <f t="shared" si="82"/>
        <v>0</v>
      </c>
      <c r="N585">
        <f t="shared" si="87"/>
        <v>0</v>
      </c>
      <c r="O585">
        <f t="shared" si="88"/>
        <v>1768.9021945563857</v>
      </c>
      <c r="P585">
        <f t="shared" si="89"/>
        <v>0</v>
      </c>
      <c r="Q585">
        <f>Q584+(Q584*E585/100)</f>
        <v>1600.583696701648</v>
      </c>
    </row>
    <row r="586" spans="1:17" x14ac:dyDescent="0.25">
      <c r="A586" s="1">
        <v>45943</v>
      </c>
      <c r="B586">
        <v>2.1819644687417901</v>
      </c>
      <c r="C586">
        <v>0.62139385606585495</v>
      </c>
      <c r="D586">
        <v>-8.6764417165796595E-2</v>
      </c>
      <c r="E586">
        <v>-0.126398003088978</v>
      </c>
      <c r="F586" s="3">
        <v>0.40419079289735899</v>
      </c>
      <c r="G586">
        <f t="shared" si="83"/>
        <v>1.6957783146181999</v>
      </c>
      <c r="H586" t="str">
        <f>IF(F586&gt;$T$2,"buy",IF(F586&lt;0,"sell","keep"))</f>
        <v>buy</v>
      </c>
      <c r="I586" t="str">
        <f t="shared" si="85"/>
        <v>buy</v>
      </c>
      <c r="J586">
        <f t="shared" si="84"/>
        <v>1</v>
      </c>
      <c r="K586" t="str">
        <f t="shared" si="86"/>
        <v>buy</v>
      </c>
      <c r="L586">
        <f t="shared" si="81"/>
        <v>1</v>
      </c>
      <c r="M586">
        <f t="shared" si="82"/>
        <v>0</v>
      </c>
      <c r="N586">
        <f t="shared" si="87"/>
        <v>1</v>
      </c>
      <c r="O586">
        <f t="shared" si="88"/>
        <v>0</v>
      </c>
      <c r="P586">
        <f t="shared" si="89"/>
        <v>1768.9021945563857</v>
      </c>
      <c r="Q586">
        <f>Q585+(Q585*E586/100)</f>
        <v>1598.5605908712494</v>
      </c>
    </row>
    <row r="587" spans="1:17" x14ac:dyDescent="0.25">
      <c r="A587" s="1">
        <v>45944</v>
      </c>
      <c r="B587">
        <v>-0.69061802406036299</v>
      </c>
      <c r="C587">
        <v>0.57156851289423805</v>
      </c>
      <c r="D587">
        <v>-0.50802842322158404</v>
      </c>
      <c r="E587">
        <v>1.6957783146181999</v>
      </c>
      <c r="F587" s="3">
        <v>5.7062036052587098E-2</v>
      </c>
      <c r="G587">
        <f t="shared" si="83"/>
        <v>-2.4893320444252499E-2</v>
      </c>
      <c r="H587" t="str">
        <f>IF(F587&gt;$T$2,"buy",IF(F587&lt;0,"sell","keep"))</f>
        <v>keep</v>
      </c>
      <c r="I587" t="str">
        <f t="shared" si="85"/>
        <v>sell</v>
      </c>
      <c r="J587">
        <f t="shared" si="84"/>
        <v>0</v>
      </c>
      <c r="K587" t="str">
        <f t="shared" si="86"/>
        <v>sell</v>
      </c>
      <c r="L587">
        <f t="shared" si="81"/>
        <v>0</v>
      </c>
      <c r="M587">
        <f t="shared" si="82"/>
        <v>1</v>
      </c>
      <c r="N587">
        <f t="shared" si="87"/>
        <v>0</v>
      </c>
      <c r="O587">
        <f t="shared" si="88"/>
        <v>1798.8988543784783</v>
      </c>
      <c r="P587">
        <f t="shared" si="89"/>
        <v>0</v>
      </c>
      <c r="Q587">
        <f>Q586+(Q586*E587/100)</f>
        <v>1625.6686347172765</v>
      </c>
    </row>
    <row r="588" spans="1:17" x14ac:dyDescent="0.25">
      <c r="A588" s="1">
        <v>45945</v>
      </c>
      <c r="B588">
        <v>0.67552340906498198</v>
      </c>
      <c r="C588">
        <v>-1.7049538516228899</v>
      </c>
      <c r="D588">
        <v>-0.55827026617687403</v>
      </c>
      <c r="E588">
        <v>-2.4893320444252499E-2</v>
      </c>
      <c r="F588" s="3">
        <v>-0.279531469840128</v>
      </c>
      <c r="G588">
        <f t="shared" si="83"/>
        <v>7.4689059899779503E-2</v>
      </c>
      <c r="H588" t="str">
        <f>IF(F588&gt;$T$2,"buy",IF(F588&lt;0,"sell","keep"))</f>
        <v>sell</v>
      </c>
      <c r="I588" t="str">
        <f t="shared" si="85"/>
        <v>sell</v>
      </c>
      <c r="J588">
        <f t="shared" si="84"/>
        <v>0</v>
      </c>
      <c r="K588" t="str">
        <f t="shared" si="86"/>
        <v>keep</v>
      </c>
      <c r="L588">
        <f t="shared" si="81"/>
        <v>0</v>
      </c>
      <c r="M588">
        <f t="shared" si="82"/>
        <v>0</v>
      </c>
      <c r="N588">
        <f t="shared" si="87"/>
        <v>0</v>
      </c>
      <c r="O588">
        <f t="shared" si="88"/>
        <v>1798.8988543784783</v>
      </c>
      <c r="P588">
        <f t="shared" si="89"/>
        <v>0</v>
      </c>
      <c r="Q588">
        <f>Q587+(Q587*E588/100)</f>
        <v>1625.2639518146746</v>
      </c>
    </row>
    <row r="589" spans="1:17" x14ac:dyDescent="0.25">
      <c r="A589" s="1">
        <v>45946</v>
      </c>
      <c r="B589">
        <v>-0.35610370126216701</v>
      </c>
      <c r="C589">
        <v>-1.59054375152201</v>
      </c>
      <c r="D589">
        <v>0.287328206011427</v>
      </c>
      <c r="E589">
        <v>7.4689059899779503E-2</v>
      </c>
      <c r="F589" s="3">
        <v>-0.28787753043244402</v>
      </c>
      <c r="G589">
        <f t="shared" si="83"/>
        <v>-1.9651763694881501</v>
      </c>
      <c r="H589" t="str">
        <f>IF(F589&gt;$T$2,"buy",IF(F589&lt;0,"sell","keep"))</f>
        <v>sell</v>
      </c>
      <c r="I589" t="str">
        <f t="shared" si="85"/>
        <v>sell</v>
      </c>
      <c r="J589">
        <f t="shared" si="84"/>
        <v>1</v>
      </c>
      <c r="K589" t="str">
        <f t="shared" si="86"/>
        <v>keep</v>
      </c>
      <c r="L589">
        <f t="shared" si="81"/>
        <v>0</v>
      </c>
      <c r="M589">
        <f t="shared" si="82"/>
        <v>0</v>
      </c>
      <c r="N589">
        <f t="shared" si="87"/>
        <v>0</v>
      </c>
      <c r="O589">
        <f t="shared" si="88"/>
        <v>1798.8988543784783</v>
      </c>
      <c r="P589">
        <f t="shared" si="89"/>
        <v>0</v>
      </c>
      <c r="Q589">
        <f>Q588+(Q588*E589/100)</f>
        <v>1626.477846181175</v>
      </c>
    </row>
    <row r="590" spans="1:17" x14ac:dyDescent="0.25">
      <c r="A590" s="1">
        <v>45947</v>
      </c>
      <c r="B590">
        <v>0.65177198602686104</v>
      </c>
      <c r="C590">
        <v>1.4969482069806701</v>
      </c>
      <c r="D590">
        <v>1.19011645223312</v>
      </c>
      <c r="E590">
        <v>-1.9651763694881501</v>
      </c>
      <c r="F590" s="3">
        <v>0.54832528960481297</v>
      </c>
      <c r="G590">
        <f t="shared" si="83"/>
        <v>-0.735856170134918</v>
      </c>
      <c r="H590" t="str">
        <f>IF(F590&gt;$T$2,"buy",IF(F590&lt;0,"sell","keep"))</f>
        <v>buy</v>
      </c>
      <c r="I590" t="str">
        <f t="shared" si="85"/>
        <v>buy</v>
      </c>
      <c r="J590">
        <f t="shared" si="84"/>
        <v>0</v>
      </c>
      <c r="K590" t="str">
        <f t="shared" si="86"/>
        <v>buy</v>
      </c>
      <c r="L590">
        <f t="shared" si="81"/>
        <v>1</v>
      </c>
      <c r="M590">
        <f t="shared" si="82"/>
        <v>0</v>
      </c>
      <c r="N590">
        <f t="shared" si="87"/>
        <v>0</v>
      </c>
      <c r="O590">
        <f t="shared" si="88"/>
        <v>0</v>
      </c>
      <c r="P590">
        <f t="shared" si="89"/>
        <v>1798.8988543784783</v>
      </c>
      <c r="Q590">
        <f>Q589+(Q589*E590/100)</f>
        <v>1594.5146878930627</v>
      </c>
    </row>
    <row r="591" spans="1:17" x14ac:dyDescent="0.25">
      <c r="A591" s="1">
        <v>45950</v>
      </c>
      <c r="B591">
        <v>1.3017607121861701</v>
      </c>
      <c r="C591">
        <v>0.148588198131194</v>
      </c>
      <c r="D591">
        <v>1.0846285803225399</v>
      </c>
      <c r="E591">
        <v>-0.735856170134918</v>
      </c>
      <c r="F591" s="3">
        <v>0.31734171368435199</v>
      </c>
      <c r="G591">
        <f t="shared" si="83"/>
        <v>0.53681724157399402</v>
      </c>
      <c r="H591" t="str">
        <f>IF(F591&gt;$T$2,"buy",IF(F591&lt;0,"sell","keep"))</f>
        <v>buy</v>
      </c>
      <c r="I591" t="str">
        <f t="shared" si="85"/>
        <v>buy</v>
      </c>
      <c r="J591">
        <f t="shared" si="84"/>
        <v>1</v>
      </c>
      <c r="K591" t="str">
        <f t="shared" si="86"/>
        <v>keep</v>
      </c>
      <c r="L591">
        <f t="shared" si="81"/>
        <v>0</v>
      </c>
      <c r="M591">
        <f t="shared" si="82"/>
        <v>0</v>
      </c>
      <c r="N591">
        <f t="shared" si="87"/>
        <v>0</v>
      </c>
      <c r="O591">
        <f t="shared" si="88"/>
        <v>0</v>
      </c>
      <c r="P591">
        <f t="shared" si="89"/>
        <v>1763.5473191812393</v>
      </c>
      <c r="Q591">
        <f>Q590+(Q590*E591/100)</f>
        <v>1582.7813531784941</v>
      </c>
    </row>
    <row r="592" spans="1:17" x14ac:dyDescent="0.25">
      <c r="A592" s="1">
        <v>45951</v>
      </c>
      <c r="B592">
        <v>-5.5243073407329403E-2</v>
      </c>
      <c r="C592">
        <v>-0.32775480665559997</v>
      </c>
      <c r="D592">
        <v>-0.28871408821083899</v>
      </c>
      <c r="E592">
        <v>0.53681724157399402</v>
      </c>
      <c r="F592" s="3">
        <v>-4.8463409570046197E-2</v>
      </c>
      <c r="G592">
        <f t="shared" si="83"/>
        <v>2.5421614715792601E-2</v>
      </c>
      <c r="H592" t="str">
        <f>IF(F592&gt;$T$2,"buy",IF(F592&lt;0,"sell","keep"))</f>
        <v>sell</v>
      </c>
      <c r="I592" t="str">
        <f t="shared" si="85"/>
        <v>sell</v>
      </c>
      <c r="J592">
        <f t="shared" si="84"/>
        <v>0</v>
      </c>
      <c r="K592" t="str">
        <f t="shared" si="86"/>
        <v>sell</v>
      </c>
      <c r="L592">
        <f t="shared" si="81"/>
        <v>0</v>
      </c>
      <c r="M592">
        <f t="shared" si="82"/>
        <v>1</v>
      </c>
      <c r="N592">
        <f t="shared" si="87"/>
        <v>0</v>
      </c>
      <c r="O592">
        <f t="shared" si="88"/>
        <v>1773.0143452539203</v>
      </c>
      <c r="P592">
        <f t="shared" si="89"/>
        <v>0</v>
      </c>
      <c r="Q592">
        <f>Q591+(Q591*E592/100)</f>
        <v>1591.2779963787743</v>
      </c>
    </row>
    <row r="593" spans="1:17" x14ac:dyDescent="0.25">
      <c r="A593" s="1">
        <v>45952</v>
      </c>
      <c r="B593">
        <v>-0.98746289474361804</v>
      </c>
      <c r="C593">
        <v>-3.5544868880743499E-2</v>
      </c>
      <c r="D593">
        <v>-1.1711893768272099</v>
      </c>
      <c r="E593">
        <v>2.5421614715792601E-2</v>
      </c>
      <c r="F593" s="3">
        <v>-0.16427097765257001</v>
      </c>
      <c r="G593">
        <f t="shared" si="83"/>
        <v>0.12709516234523599</v>
      </c>
      <c r="H593" t="str">
        <f>IF(F593&gt;$T$2,"buy",IF(F593&lt;0,"sell","keep"))</f>
        <v>sell</v>
      </c>
      <c r="I593" t="str">
        <f t="shared" si="85"/>
        <v>sell</v>
      </c>
      <c r="J593">
        <f t="shared" si="84"/>
        <v>0</v>
      </c>
      <c r="K593" t="str">
        <f t="shared" si="86"/>
        <v>keep</v>
      </c>
      <c r="L593">
        <f t="shared" si="81"/>
        <v>0</v>
      </c>
      <c r="M593">
        <f t="shared" si="82"/>
        <v>0</v>
      </c>
      <c r="N593">
        <f t="shared" si="87"/>
        <v>0</v>
      </c>
      <c r="O593">
        <f t="shared" si="88"/>
        <v>1773.0143452539203</v>
      </c>
      <c r="P593">
        <f t="shared" si="89"/>
        <v>0</v>
      </c>
      <c r="Q593">
        <f>Q592+(Q592*E593/100)</f>
        <v>1591.6825249400708</v>
      </c>
    </row>
    <row r="594" spans="1:17" x14ac:dyDescent="0.25">
      <c r="A594" s="1">
        <v>45953</v>
      </c>
      <c r="B594">
        <v>0.87785001365592297</v>
      </c>
      <c r="C594">
        <v>3.5557507750238998E-2</v>
      </c>
      <c r="D594">
        <v>-0.18803195285391699</v>
      </c>
      <c r="E594">
        <v>0.12709516234523599</v>
      </c>
      <c r="F594" s="3">
        <v>0.13765687210431199</v>
      </c>
      <c r="G594">
        <f t="shared" si="83"/>
        <v>2.5392577774696602E-2</v>
      </c>
      <c r="H594" t="str">
        <f>IF(F594&gt;$T$2,"buy",IF(F594&lt;0,"sell","keep"))</f>
        <v>keep</v>
      </c>
      <c r="I594" t="str">
        <f t="shared" si="85"/>
        <v>sell</v>
      </c>
      <c r="J594">
        <f t="shared" si="84"/>
        <v>1</v>
      </c>
      <c r="K594" t="str">
        <f t="shared" si="86"/>
        <v>keep</v>
      </c>
      <c r="L594">
        <f t="shared" si="81"/>
        <v>0</v>
      </c>
      <c r="M594">
        <f t="shared" si="82"/>
        <v>0</v>
      </c>
      <c r="N594">
        <f t="shared" si="87"/>
        <v>0</v>
      </c>
      <c r="O594">
        <f t="shared" si="88"/>
        <v>1773.0143452539203</v>
      </c>
      <c r="P594">
        <f t="shared" si="89"/>
        <v>0</v>
      </c>
      <c r="Q594">
        <f>Q593+(Q593*E594/100)</f>
        <v>1593.7054764291643</v>
      </c>
    </row>
    <row r="595" spans="1:17" x14ac:dyDescent="0.25">
      <c r="A595" s="1">
        <v>45954</v>
      </c>
      <c r="B595">
        <v>1.0389518216287601</v>
      </c>
      <c r="C595">
        <v>-0.90649964094442403</v>
      </c>
      <c r="D595">
        <v>-0.113907765506748</v>
      </c>
      <c r="E595">
        <v>2.5392577774696602E-2</v>
      </c>
      <c r="F595" s="3">
        <v>-3.7927961263061E-2</v>
      </c>
      <c r="G595">
        <f t="shared" si="83"/>
        <v>0.53299257954273405</v>
      </c>
      <c r="H595" t="str">
        <f>IF(F595&gt;$T$2,"buy",IF(F595&lt;0,"sell","keep"))</f>
        <v>sell</v>
      </c>
      <c r="I595" t="str">
        <f t="shared" si="85"/>
        <v>sell</v>
      </c>
      <c r="J595">
        <f t="shared" si="84"/>
        <v>0</v>
      </c>
      <c r="K595" t="str">
        <f t="shared" si="86"/>
        <v>keep</v>
      </c>
      <c r="L595">
        <f t="shared" si="81"/>
        <v>0</v>
      </c>
      <c r="M595">
        <f t="shared" si="82"/>
        <v>0</v>
      </c>
      <c r="N595">
        <f t="shared" si="87"/>
        <v>0</v>
      </c>
      <c r="O595">
        <f t="shared" si="88"/>
        <v>1773.0143452539203</v>
      </c>
      <c r="P595">
        <f t="shared" si="89"/>
        <v>0</v>
      </c>
      <c r="Q595">
        <f>Q594+(Q594*E595/100)</f>
        <v>1594.1101593317662</v>
      </c>
    </row>
    <row r="596" spans="1:17" x14ac:dyDescent="0.25">
      <c r="A596" s="1">
        <v>45957</v>
      </c>
      <c r="B596">
        <v>1.8273826734459899</v>
      </c>
      <c r="C596">
        <v>-0.26457152173676701</v>
      </c>
      <c r="D596">
        <v>1.7541142074084502E-2</v>
      </c>
      <c r="E596">
        <v>0.53299257954273405</v>
      </c>
      <c r="F596" s="3">
        <v>0.19679973388871999</v>
      </c>
      <c r="G596">
        <f t="shared" si="83"/>
        <v>0.227215731383689</v>
      </c>
      <c r="H596" t="str">
        <f>IF(F596&gt;$T$2,"buy",IF(F596&lt;0,"sell","keep"))</f>
        <v>buy</v>
      </c>
      <c r="I596" t="str">
        <f t="shared" si="85"/>
        <v>buy</v>
      </c>
      <c r="J596">
        <f t="shared" si="84"/>
        <v>1</v>
      </c>
      <c r="K596" t="str">
        <f t="shared" si="86"/>
        <v>buy</v>
      </c>
      <c r="L596">
        <f t="shared" si="81"/>
        <v>1</v>
      </c>
      <c r="M596">
        <f t="shared" si="82"/>
        <v>0</v>
      </c>
      <c r="N596">
        <f t="shared" si="87"/>
        <v>1</v>
      </c>
      <c r="O596">
        <f t="shared" si="88"/>
        <v>0</v>
      </c>
      <c r="P596">
        <f t="shared" si="89"/>
        <v>1773.0143452539203</v>
      </c>
      <c r="Q596">
        <f>Q595+(Q595*E596/100)</f>
        <v>1602.6066481907415</v>
      </c>
    </row>
    <row r="597" spans="1:17" x14ac:dyDescent="0.25">
      <c r="A597" s="1">
        <v>45958</v>
      </c>
      <c r="B597">
        <v>0.73814160500926795</v>
      </c>
      <c r="C597">
        <v>-0.47210587687498401</v>
      </c>
      <c r="D597">
        <v>-0.214881777248221</v>
      </c>
      <c r="E597">
        <v>0.227215731383689</v>
      </c>
      <c r="F597" s="3">
        <v>1.537403459634E-2</v>
      </c>
      <c r="G597">
        <f t="shared" si="83"/>
        <v>-1.18388214526655</v>
      </c>
      <c r="H597" t="str">
        <f>IF(F597&gt;$T$2,"buy",IF(F597&lt;0,"sell","keep"))</f>
        <v>keep</v>
      </c>
      <c r="I597" t="str">
        <f t="shared" si="85"/>
        <v>sell</v>
      </c>
      <c r="J597">
        <f t="shared" si="84"/>
        <v>0</v>
      </c>
      <c r="K597" t="str">
        <f t="shared" si="86"/>
        <v>sell</v>
      </c>
      <c r="L597">
        <f t="shared" si="81"/>
        <v>0</v>
      </c>
      <c r="M597">
        <f t="shared" si="82"/>
        <v>1</v>
      </c>
      <c r="N597">
        <f t="shared" si="87"/>
        <v>0</v>
      </c>
      <c r="O597">
        <f t="shared" si="88"/>
        <v>1777.0429127660268</v>
      </c>
      <c r="P597">
        <f t="shared" si="89"/>
        <v>0</v>
      </c>
      <c r="Q597">
        <f>Q596+(Q596*E597/100)</f>
        <v>1606.2480226076316</v>
      </c>
    </row>
    <row r="598" spans="1:17" x14ac:dyDescent="0.25">
      <c r="A598" s="1">
        <v>45959</v>
      </c>
      <c r="B598">
        <v>0.41403427680017901</v>
      </c>
      <c r="C598">
        <v>-2.41913260697849</v>
      </c>
      <c r="D598">
        <v>-1.0547595355653701</v>
      </c>
      <c r="E598">
        <v>-1.18388214526655</v>
      </c>
      <c r="F598" s="3">
        <v>-0.50820935797419697</v>
      </c>
      <c r="G598">
        <f t="shared" si="83"/>
        <v>0.28039921395648298</v>
      </c>
      <c r="H598" t="str">
        <f>IF(F598&gt;$T$2,"buy",IF(F598&lt;0,"sell","keep"))</f>
        <v>sell</v>
      </c>
      <c r="I598" t="str">
        <f t="shared" si="85"/>
        <v>sell</v>
      </c>
      <c r="J598">
        <f t="shared" si="84"/>
        <v>0</v>
      </c>
      <c r="K598" t="str">
        <f t="shared" si="86"/>
        <v>keep</v>
      </c>
      <c r="L598">
        <f t="shared" si="81"/>
        <v>0</v>
      </c>
      <c r="M598">
        <f t="shared" si="82"/>
        <v>0</v>
      </c>
      <c r="N598">
        <f t="shared" si="87"/>
        <v>0</v>
      </c>
      <c r="O598">
        <f t="shared" si="88"/>
        <v>1777.0429127660268</v>
      </c>
      <c r="P598">
        <f t="shared" si="89"/>
        <v>0</v>
      </c>
      <c r="Q598">
        <f>Q597+(Q597*E598/100)</f>
        <v>1587.2319390592829</v>
      </c>
    </row>
    <row r="599" spans="1:17" x14ac:dyDescent="0.25">
      <c r="A599" s="1">
        <v>45960</v>
      </c>
      <c r="B599">
        <v>-1.4741243470322301</v>
      </c>
      <c r="C599">
        <v>-0.48610480879399598</v>
      </c>
      <c r="D599">
        <v>1.3591574617464599</v>
      </c>
      <c r="E599">
        <v>0.28039921395648298</v>
      </c>
      <c r="F599" s="3">
        <v>-8.8863425370559995E-2</v>
      </c>
      <c r="G599">
        <f t="shared" si="83"/>
        <v>-4.3467185506865498</v>
      </c>
      <c r="H599" t="str">
        <f>IF(F599&gt;$T$2,"buy",IF(F599&lt;0,"sell","keep"))</f>
        <v>sell</v>
      </c>
      <c r="I599" t="str">
        <f t="shared" si="85"/>
        <v>sell</v>
      </c>
      <c r="J599">
        <f t="shared" si="84"/>
        <v>1</v>
      </c>
      <c r="K599" t="str">
        <f t="shared" si="86"/>
        <v>keep</v>
      </c>
      <c r="L599">
        <f t="shared" si="81"/>
        <v>0</v>
      </c>
      <c r="M599">
        <f t="shared" si="82"/>
        <v>0</v>
      </c>
      <c r="N599">
        <f t="shared" si="87"/>
        <v>0</v>
      </c>
      <c r="O599">
        <f t="shared" si="88"/>
        <v>1777.0429127660268</v>
      </c>
      <c r="P599">
        <f t="shared" si="89"/>
        <v>0</v>
      </c>
      <c r="Q599">
        <f>Q598+(Q598*E599/100)</f>
        <v>1591.6825249400713</v>
      </c>
    </row>
    <row r="600" spans="1:17" x14ac:dyDescent="0.25">
      <c r="A600" s="1">
        <v>45961</v>
      </c>
      <c r="B600">
        <v>0.47919650418788401</v>
      </c>
      <c r="C600">
        <v>-2.7005687466562698</v>
      </c>
      <c r="D600">
        <v>-4.4522396241723303</v>
      </c>
      <c r="E600">
        <v>-4.3467185506865498</v>
      </c>
      <c r="F600" s="3">
        <v>-0.83325045023190802</v>
      </c>
      <c r="G600">
        <f t="shared" si="83"/>
        <v>0.37204194970661397</v>
      </c>
      <c r="H600" t="str">
        <f>IF(F600&gt;$T$2,"buy",IF(F600&lt;0,"sell","keep"))</f>
        <v>sell</v>
      </c>
      <c r="I600" t="str">
        <f t="shared" si="85"/>
        <v>sell</v>
      </c>
      <c r="J600">
        <f t="shared" si="84"/>
        <v>0</v>
      </c>
      <c r="K600" t="str">
        <f t="shared" si="86"/>
        <v>keep</v>
      </c>
      <c r="L600">
        <f t="shared" si="81"/>
        <v>0</v>
      </c>
      <c r="M600">
        <f t="shared" si="82"/>
        <v>0</v>
      </c>
      <c r="N600">
        <f t="shared" si="87"/>
        <v>0</v>
      </c>
      <c r="O600">
        <f t="shared" si="88"/>
        <v>1777.0429127660268</v>
      </c>
      <c r="P600">
        <f t="shared" si="89"/>
        <v>0</v>
      </c>
      <c r="Q600">
        <f>Q599+(Q599*E600/100)</f>
        <v>1522.4965653604652</v>
      </c>
    </row>
    <row r="601" spans="1:17" x14ac:dyDescent="0.25">
      <c r="A601" s="1">
        <v>45964</v>
      </c>
      <c r="B601">
        <v>0.44399417101865701</v>
      </c>
      <c r="C601">
        <v>-1.4630626545868901</v>
      </c>
      <c r="D601">
        <v>-2.7884752878874699</v>
      </c>
      <c r="E601">
        <v>0.37204194970661397</v>
      </c>
      <c r="F601" s="3">
        <v>-0.42134238132307</v>
      </c>
      <c r="G601">
        <f t="shared" si="83"/>
        <v>0.26475634871361198</v>
      </c>
      <c r="H601" t="str">
        <f>IF(F601&gt;$T$2,"buy",IF(F601&lt;0,"sell","keep"))</f>
        <v>sell</v>
      </c>
      <c r="I601" t="str">
        <f t="shared" si="85"/>
        <v>sell</v>
      </c>
      <c r="J601">
        <f t="shared" si="84"/>
        <v>0</v>
      </c>
      <c r="K601" t="str">
        <f t="shared" si="86"/>
        <v>keep</v>
      </c>
      <c r="L601">
        <f t="shared" si="81"/>
        <v>0</v>
      </c>
      <c r="M601">
        <f t="shared" si="82"/>
        <v>0</v>
      </c>
      <c r="N601">
        <f t="shared" si="87"/>
        <v>0</v>
      </c>
      <c r="O601">
        <f t="shared" si="88"/>
        <v>1777.0429127660268</v>
      </c>
      <c r="P601">
        <f t="shared" si="89"/>
        <v>0</v>
      </c>
      <c r="Q601">
        <f>Q600+(Q600*E601/100)</f>
        <v>1528.1608912664485</v>
      </c>
    </row>
    <row r="602" spans="1:17" x14ac:dyDescent="0.25">
      <c r="A602" s="1">
        <v>45965</v>
      </c>
      <c r="B602">
        <v>-2.0684614282668701</v>
      </c>
      <c r="C602">
        <v>1.39745439353353</v>
      </c>
      <c r="D602">
        <v>1.85412498379007</v>
      </c>
      <c r="E602">
        <v>0.26475634871361198</v>
      </c>
      <c r="F602" s="3">
        <v>0.231335906516241</v>
      </c>
      <c r="G602">
        <f t="shared" si="83"/>
        <v>0.63375147936623999</v>
      </c>
      <c r="H602" t="str">
        <f>IF(F602&gt;$T$2,"buy",IF(F602&lt;0,"sell","keep"))</f>
        <v>buy</v>
      </c>
      <c r="I602" t="str">
        <f t="shared" si="85"/>
        <v>buy</v>
      </c>
      <c r="J602">
        <f t="shared" si="84"/>
        <v>1</v>
      </c>
      <c r="K602" t="str">
        <f t="shared" si="86"/>
        <v>buy</v>
      </c>
      <c r="L602">
        <f t="shared" si="81"/>
        <v>1</v>
      </c>
      <c r="M602">
        <f t="shared" si="82"/>
        <v>0</v>
      </c>
      <c r="N602">
        <f t="shared" si="87"/>
        <v>1</v>
      </c>
      <c r="O602">
        <f t="shared" si="88"/>
        <v>0</v>
      </c>
      <c r="P602">
        <f t="shared" si="89"/>
        <v>1777.0429127660268</v>
      </c>
      <c r="Q602">
        <f>Q601+(Q601*E602/100)</f>
        <v>1532.2067942446349</v>
      </c>
    </row>
    <row r="603" spans="1:17" x14ac:dyDescent="0.25">
      <c r="A603" s="1">
        <v>45966</v>
      </c>
      <c r="B603">
        <v>0.724690430326835</v>
      </c>
      <c r="C603">
        <v>6.9389040782263905E-2</v>
      </c>
      <c r="D603">
        <v>0.40761233545461001</v>
      </c>
      <c r="E603">
        <v>0.63375147936623999</v>
      </c>
      <c r="F603" s="3">
        <v>0.18031296896875099</v>
      </c>
      <c r="G603">
        <f t="shared" si="83"/>
        <v>-0.86591924893606398</v>
      </c>
      <c r="H603" t="str">
        <f>IF(F603&gt;$T$2,"buy",IF(F603&lt;0,"sell","keep"))</f>
        <v>buy</v>
      </c>
      <c r="I603" t="str">
        <f t="shared" si="85"/>
        <v>buy</v>
      </c>
      <c r="J603">
        <f t="shared" si="84"/>
        <v>0</v>
      </c>
      <c r="K603" t="str">
        <f t="shared" si="86"/>
        <v>keep</v>
      </c>
      <c r="L603">
        <f t="shared" si="81"/>
        <v>0</v>
      </c>
      <c r="M603">
        <f t="shared" si="82"/>
        <v>0</v>
      </c>
      <c r="N603">
        <f t="shared" si="87"/>
        <v>0</v>
      </c>
      <c r="O603">
        <f t="shared" si="88"/>
        <v>0</v>
      </c>
      <c r="P603">
        <f t="shared" si="89"/>
        <v>1781.7477466969401</v>
      </c>
      <c r="Q603">
        <f>Q602+(Q602*E603/100)</f>
        <v>1541.9171774701103</v>
      </c>
    </row>
    <row r="604" spans="1:17" x14ac:dyDescent="0.25">
      <c r="A604" s="1">
        <v>45967</v>
      </c>
      <c r="B604">
        <v>-1.91252800181133</v>
      </c>
      <c r="C604">
        <v>-0.69578946489575699</v>
      </c>
      <c r="D604">
        <v>1.04719052234356</v>
      </c>
      <c r="E604">
        <v>-0.86591924893606398</v>
      </c>
      <c r="F604" s="3">
        <v>-0.235641203926027</v>
      </c>
      <c r="G604">
        <f t="shared" si="83"/>
        <v>-0.714665078050846</v>
      </c>
      <c r="H604" t="str">
        <f>IF(F604&gt;$T$2,"buy",IF(F604&lt;0,"sell","keep"))</f>
        <v>sell</v>
      </c>
      <c r="I604" t="str">
        <f t="shared" si="85"/>
        <v>sell</v>
      </c>
      <c r="J604">
        <f t="shared" si="84"/>
        <v>1</v>
      </c>
      <c r="K604" t="str">
        <f t="shared" si="86"/>
        <v>sell</v>
      </c>
      <c r="L604">
        <f t="shared" si="81"/>
        <v>0</v>
      </c>
      <c r="M604">
        <f t="shared" si="82"/>
        <v>1</v>
      </c>
      <c r="N604">
        <f t="shared" si="87"/>
        <v>1</v>
      </c>
      <c r="O604">
        <f t="shared" si="88"/>
        <v>1766.3192499908068</v>
      </c>
      <c r="P604">
        <f t="shared" si="89"/>
        <v>0</v>
      </c>
      <c r="Q604">
        <f>Q603+(Q603*E604/100)</f>
        <v>1528.565419827745</v>
      </c>
    </row>
    <row r="605" spans="1:17" x14ac:dyDescent="0.25">
      <c r="A605" s="1">
        <v>45968</v>
      </c>
      <c r="B605">
        <v>-0.27946043159876499</v>
      </c>
      <c r="C605">
        <v>1.2496396376530301</v>
      </c>
      <c r="D605">
        <v>5.4787671439693299E-2</v>
      </c>
      <c r="E605">
        <v>-0.714665078050846</v>
      </c>
      <c r="F605" s="3">
        <v>0.27403290056330498</v>
      </c>
      <c r="G605">
        <f t="shared" si="83"/>
        <v>1.14636183528948</v>
      </c>
      <c r="H605" t="str">
        <f>IF(F605&gt;$T$2,"buy",IF(F605&lt;0,"sell","keep"))</f>
        <v>buy</v>
      </c>
      <c r="I605" t="str">
        <f t="shared" si="85"/>
        <v>buy</v>
      </c>
      <c r="J605">
        <f t="shared" si="84"/>
        <v>1</v>
      </c>
      <c r="K605" t="str">
        <f t="shared" si="86"/>
        <v>buy</v>
      </c>
      <c r="L605">
        <f t="shared" si="81"/>
        <v>1</v>
      </c>
      <c r="M605">
        <f t="shared" si="82"/>
        <v>0</v>
      </c>
      <c r="N605">
        <f t="shared" si="87"/>
        <v>1</v>
      </c>
      <c r="O605">
        <f t="shared" si="88"/>
        <v>0</v>
      </c>
      <c r="P605">
        <f t="shared" si="89"/>
        <v>1766.3192499908068</v>
      </c>
      <c r="Q605">
        <f>Q604+(Q604*E605/100)</f>
        <v>1517.6412965770749</v>
      </c>
    </row>
    <row r="606" spans="1:17" x14ac:dyDescent="0.25">
      <c r="A606" s="1">
        <v>45971</v>
      </c>
      <c r="B606">
        <v>2.2024495614905102</v>
      </c>
      <c r="C606">
        <v>3.80443582795209E-2</v>
      </c>
      <c r="D606">
        <v>-0.20532372016401901</v>
      </c>
      <c r="E606">
        <v>1.14636183528948</v>
      </c>
      <c r="F606" s="3">
        <v>0.29599619500142699</v>
      </c>
      <c r="G606">
        <f t="shared" si="83"/>
        <v>0.65893518463124801</v>
      </c>
      <c r="H606" t="str">
        <f>IF(F606&gt;$T$2,"buy",IF(F606&lt;0,"sell","keep"))</f>
        <v>buy</v>
      </c>
      <c r="I606" t="str">
        <f t="shared" si="85"/>
        <v>buy</v>
      </c>
      <c r="J606">
        <f t="shared" si="84"/>
        <v>1</v>
      </c>
      <c r="K606" t="str">
        <f t="shared" si="86"/>
        <v>keep</v>
      </c>
      <c r="L606">
        <f t="shared" si="81"/>
        <v>0</v>
      </c>
      <c r="M606">
        <f t="shared" si="82"/>
        <v>0</v>
      </c>
      <c r="N606">
        <f t="shared" si="87"/>
        <v>0</v>
      </c>
      <c r="O606">
        <f t="shared" si="88"/>
        <v>0</v>
      </c>
      <c r="P606">
        <f t="shared" si="89"/>
        <v>1753.695983144233</v>
      </c>
      <c r="Q606">
        <f>Q605+(Q605*E606/100)</f>
        <v>1535.0389571976268</v>
      </c>
    </row>
    <row r="607" spans="1:17" x14ac:dyDescent="0.25">
      <c r="A607" s="1">
        <v>45972</v>
      </c>
      <c r="B607">
        <v>-0.30552394832966601</v>
      </c>
      <c r="C607">
        <v>1.4215373395561599</v>
      </c>
      <c r="D607">
        <v>2.9536724055464698</v>
      </c>
      <c r="E607">
        <v>0.65893518463124801</v>
      </c>
      <c r="F607" s="3">
        <v>0.53572037409364104</v>
      </c>
      <c r="G607">
        <f t="shared" si="83"/>
        <v>0.91647630637403599</v>
      </c>
      <c r="H607" t="str">
        <f>IF(F607&gt;$T$2,"buy",IF(F607&lt;0,"sell","keep"))</f>
        <v>buy</v>
      </c>
      <c r="I607" t="str">
        <f t="shared" si="85"/>
        <v>buy</v>
      </c>
      <c r="J607">
        <f t="shared" si="84"/>
        <v>1</v>
      </c>
      <c r="K607" t="str">
        <f t="shared" si="86"/>
        <v>keep</v>
      </c>
      <c r="L607">
        <f t="shared" si="81"/>
        <v>0</v>
      </c>
      <c r="M607">
        <f t="shared" si="82"/>
        <v>0</v>
      </c>
      <c r="N607">
        <f t="shared" si="87"/>
        <v>0</v>
      </c>
      <c r="O607">
        <f t="shared" si="88"/>
        <v>0</v>
      </c>
      <c r="P607">
        <f t="shared" si="89"/>
        <v>1773.799684602003</v>
      </c>
      <c r="Q607">
        <f>Q606+(Q606*E607/100)</f>
        <v>1545.1538689843985</v>
      </c>
    </row>
    <row r="608" spans="1:17" x14ac:dyDescent="0.25">
      <c r="A608" s="1">
        <v>45973</v>
      </c>
      <c r="B608">
        <v>-6.3290040263452793E-2</v>
      </c>
      <c r="C608">
        <v>0.54143223352840497</v>
      </c>
      <c r="D608">
        <v>3.57951682220025</v>
      </c>
      <c r="E608">
        <v>0.91647630637403599</v>
      </c>
      <c r="F608" s="3">
        <v>0.43397486602246299</v>
      </c>
      <c r="G608">
        <f t="shared" si="83"/>
        <v>1.06382936604167</v>
      </c>
      <c r="H608" t="str">
        <f>IF(F608&gt;$T$2,"buy",IF(F608&lt;0,"sell","keep"))</f>
        <v>buy</v>
      </c>
      <c r="I608" t="str">
        <f t="shared" si="85"/>
        <v>buy</v>
      </c>
      <c r="J608">
        <f t="shared" si="84"/>
        <v>1</v>
      </c>
      <c r="K608" t="str">
        <f t="shared" si="86"/>
        <v>keep</v>
      </c>
      <c r="L608">
        <f t="shared" si="81"/>
        <v>0</v>
      </c>
      <c r="M608">
        <f t="shared" si="82"/>
        <v>0</v>
      </c>
      <c r="N608">
        <f t="shared" si="87"/>
        <v>0</v>
      </c>
      <c r="O608">
        <f t="shared" si="88"/>
        <v>0</v>
      </c>
      <c r="P608">
        <f t="shared" si="89"/>
        <v>1785.4878748287238</v>
      </c>
      <c r="Q608">
        <f>Q607+(Q607*E608/100)</f>
        <v>1559.3148380906623</v>
      </c>
    </row>
    <row r="609" spans="1:17" x14ac:dyDescent="0.25">
      <c r="A609" s="1">
        <v>45974</v>
      </c>
      <c r="B609">
        <v>-2.05299354995643</v>
      </c>
      <c r="C609">
        <v>-7.4597003381182594E-2</v>
      </c>
      <c r="D609">
        <v>-0.40303468392028902</v>
      </c>
      <c r="E609">
        <v>1.06382936604167</v>
      </c>
      <c r="F609" s="3">
        <v>-0.236712286002978</v>
      </c>
      <c r="G609">
        <f t="shared" si="83"/>
        <v>-1.1809989100445299</v>
      </c>
      <c r="H609" t="str">
        <f>IF(F609&gt;$T$2,"buy",IF(F609&lt;0,"sell","keep"))</f>
        <v>sell</v>
      </c>
      <c r="I609" t="str">
        <f t="shared" si="85"/>
        <v>sell</v>
      </c>
      <c r="J609">
        <f t="shared" si="84"/>
        <v>1</v>
      </c>
      <c r="K609" t="str">
        <f t="shared" si="86"/>
        <v>sell</v>
      </c>
      <c r="L609">
        <f t="shared" si="81"/>
        <v>0</v>
      </c>
      <c r="M609">
        <f t="shared" si="82"/>
        <v>1</v>
      </c>
      <c r="N609">
        <f t="shared" si="87"/>
        <v>1</v>
      </c>
      <c r="O609">
        <f t="shared" si="88"/>
        <v>1804.4824191682651</v>
      </c>
      <c r="P609">
        <f t="shared" si="89"/>
        <v>0</v>
      </c>
      <c r="Q609">
        <f>Q608+(Q608*E609/100)</f>
        <v>1575.9032872473158</v>
      </c>
    </row>
    <row r="610" spans="1:17" x14ac:dyDescent="0.25">
      <c r="A610" s="1">
        <v>45975</v>
      </c>
      <c r="B610">
        <v>5.9132654384908001E-2</v>
      </c>
      <c r="C610">
        <v>-1.22480578830977</v>
      </c>
      <c r="D610">
        <v>3.0142000473975999E-2</v>
      </c>
      <c r="E610">
        <v>-1.1809989100445299</v>
      </c>
      <c r="F610" s="3">
        <v>-0.19468794058916</v>
      </c>
      <c r="G610">
        <f t="shared" si="83"/>
        <v>-0.64951932735264295</v>
      </c>
      <c r="H610" t="str">
        <f>IF(F610&gt;$T$2,"buy",IF(F610&lt;0,"sell","keep"))</f>
        <v>sell</v>
      </c>
      <c r="I610" t="str">
        <f t="shared" si="85"/>
        <v>sell</v>
      </c>
      <c r="J610">
        <f t="shared" si="84"/>
        <v>1</v>
      </c>
      <c r="K610" t="str">
        <f t="shared" si="86"/>
        <v>keep</v>
      </c>
      <c r="L610">
        <f t="shared" si="81"/>
        <v>0</v>
      </c>
      <c r="M610">
        <f t="shared" si="82"/>
        <v>0</v>
      </c>
      <c r="N610">
        <f t="shared" si="87"/>
        <v>0</v>
      </c>
      <c r="O610">
        <f t="shared" si="88"/>
        <v>1804.4824191682651</v>
      </c>
      <c r="P610">
        <f t="shared" si="89"/>
        <v>0</v>
      </c>
      <c r="Q610">
        <f>Q609+(Q609*E610/100)</f>
        <v>1557.2918866015691</v>
      </c>
    </row>
    <row r="611" spans="1:17" x14ac:dyDescent="0.25">
      <c r="A611" s="1">
        <v>45978</v>
      </c>
      <c r="B611">
        <v>-0.83300668318778603</v>
      </c>
      <c r="C611">
        <v>-1.3084891442620299</v>
      </c>
      <c r="D611">
        <v>0.70580005048190797</v>
      </c>
      <c r="E611">
        <v>-0.64951932735264295</v>
      </c>
      <c r="F611" s="3">
        <v>-0.26600694529351798</v>
      </c>
      <c r="G611">
        <f t="shared" si="83"/>
        <v>-0.99372659894315596</v>
      </c>
      <c r="H611" t="str">
        <f>IF(F611&gt;$T$2,"buy",IF(F611&lt;0,"sell","keep"))</f>
        <v>sell</v>
      </c>
      <c r="I611" t="str">
        <f t="shared" si="85"/>
        <v>sell</v>
      </c>
      <c r="J611">
        <f t="shared" si="84"/>
        <v>1</v>
      </c>
      <c r="K611" t="str">
        <f t="shared" si="86"/>
        <v>keep</v>
      </c>
      <c r="L611">
        <f t="shared" si="81"/>
        <v>0</v>
      </c>
      <c r="M611">
        <f t="shared" si="82"/>
        <v>0</v>
      </c>
      <c r="N611">
        <f t="shared" si="87"/>
        <v>0</v>
      </c>
      <c r="O611">
        <f t="shared" si="88"/>
        <v>1804.4824191682651</v>
      </c>
      <c r="P611">
        <f t="shared" si="89"/>
        <v>0</v>
      </c>
      <c r="Q611">
        <f>Q610+(Q610*E611/100)</f>
        <v>1547.1769748147974</v>
      </c>
    </row>
    <row r="612" spans="1:17" x14ac:dyDescent="0.25">
      <c r="A612" s="1">
        <v>45979</v>
      </c>
      <c r="B612">
        <v>-1.19685996339926</v>
      </c>
      <c r="C612">
        <v>-0.74906902405660303</v>
      </c>
      <c r="D612">
        <v>-5.5557659016380802E-2</v>
      </c>
      <c r="E612">
        <v>-0.99372659894315596</v>
      </c>
      <c r="F612" s="3">
        <v>-0.25686297197463598</v>
      </c>
      <c r="G612">
        <f t="shared" si="83"/>
        <v>-0.158482230120748</v>
      </c>
      <c r="H612" t="str">
        <f>IF(F612&gt;$T$2,"buy",IF(F612&lt;0,"sell","keep"))</f>
        <v>sell</v>
      </c>
      <c r="I612" t="str">
        <f t="shared" si="85"/>
        <v>sell</v>
      </c>
      <c r="J612">
        <f t="shared" si="84"/>
        <v>1</v>
      </c>
      <c r="K612" t="str">
        <f t="shared" si="86"/>
        <v>keep</v>
      </c>
      <c r="L612">
        <f t="shared" si="81"/>
        <v>0</v>
      </c>
      <c r="M612">
        <f t="shared" si="82"/>
        <v>0</v>
      </c>
      <c r="N612">
        <f t="shared" si="87"/>
        <v>0</v>
      </c>
      <c r="O612">
        <f t="shared" si="88"/>
        <v>1804.4824191682651</v>
      </c>
      <c r="P612">
        <f t="shared" si="89"/>
        <v>0</v>
      </c>
      <c r="Q612">
        <f>Q611+(Q611*E612/100)</f>
        <v>1531.8022656833386</v>
      </c>
    </row>
    <row r="613" spans="1:17" x14ac:dyDescent="0.25">
      <c r="A613" s="1">
        <v>45980</v>
      </c>
      <c r="B613">
        <v>0.56082668750374598</v>
      </c>
      <c r="C613">
        <v>-0.36650792337780103</v>
      </c>
      <c r="D613">
        <v>-0.41048179455495098</v>
      </c>
      <c r="E613">
        <v>-0.158482230120748</v>
      </c>
      <c r="F613" s="3">
        <v>3.8686794213319401E-3</v>
      </c>
      <c r="G613">
        <f t="shared" si="83"/>
        <v>-5.2911264992994103E-2</v>
      </c>
      <c r="H613" t="str">
        <f>IF(F613&gt;$T$2,"buy",IF(F613&lt;0,"sell","keep"))</f>
        <v>keep</v>
      </c>
      <c r="I613" t="str">
        <f t="shared" si="85"/>
        <v>sell</v>
      </c>
      <c r="J613">
        <f t="shared" si="84"/>
        <v>0</v>
      </c>
      <c r="K613" t="str">
        <f t="shared" si="86"/>
        <v>keep</v>
      </c>
      <c r="L613">
        <f t="shared" si="81"/>
        <v>0</v>
      </c>
      <c r="M613">
        <f t="shared" si="82"/>
        <v>0</v>
      </c>
      <c r="N613">
        <f t="shared" si="87"/>
        <v>0</v>
      </c>
      <c r="O613">
        <f t="shared" si="88"/>
        <v>1804.4824191682651</v>
      </c>
      <c r="P613">
        <f t="shared" si="89"/>
        <v>0</v>
      </c>
      <c r="Q613">
        <f>Q612+(Q612*E613/100)</f>
        <v>1529.3746312916435</v>
      </c>
    </row>
    <row r="614" spans="1:17" x14ac:dyDescent="0.25">
      <c r="A614" s="1">
        <v>45981</v>
      </c>
      <c r="B614">
        <v>-2.3787593891096099</v>
      </c>
      <c r="C614">
        <v>-1.1350508848888401</v>
      </c>
      <c r="D614">
        <v>-1.4855542406103199</v>
      </c>
      <c r="E614">
        <v>-5.2911264992994103E-2</v>
      </c>
      <c r="F614" s="3">
        <v>-0.590952410335288</v>
      </c>
      <c r="G614">
        <f t="shared" si="83"/>
        <v>0.95288677073446204</v>
      </c>
      <c r="H614" t="str">
        <f>IF(F614&gt;$T$2,"buy",IF(F614&lt;0,"sell","keep"))</f>
        <v>sell</v>
      </c>
      <c r="I614" t="str">
        <f t="shared" si="85"/>
        <v>sell</v>
      </c>
      <c r="J614">
        <f t="shared" si="84"/>
        <v>0</v>
      </c>
      <c r="K614" t="str">
        <f t="shared" si="86"/>
        <v>keep</v>
      </c>
      <c r="L614">
        <f t="shared" si="81"/>
        <v>0</v>
      </c>
      <c r="M614">
        <f t="shared" si="82"/>
        <v>0</v>
      </c>
      <c r="N614">
        <f t="shared" si="87"/>
        <v>0</v>
      </c>
      <c r="O614">
        <f t="shared" si="88"/>
        <v>1804.4824191682651</v>
      </c>
      <c r="P614">
        <f t="shared" si="89"/>
        <v>0</v>
      </c>
      <c r="Q614">
        <f>Q613+(Q613*E614/100)</f>
        <v>1528.5654198277452</v>
      </c>
    </row>
    <row r="615" spans="1:17" x14ac:dyDescent="0.25">
      <c r="A615" s="1">
        <v>45982</v>
      </c>
      <c r="B615">
        <v>0.76987827792218599</v>
      </c>
      <c r="C615">
        <v>1.03547013830835</v>
      </c>
      <c r="D615">
        <v>2.9766816393006201</v>
      </c>
      <c r="E615">
        <v>0.95288677073446204</v>
      </c>
      <c r="F615" s="3">
        <v>0.58606478555438202</v>
      </c>
      <c r="G615">
        <f t="shared" si="83"/>
        <v>0.26219792978157103</v>
      </c>
      <c r="H615" t="str">
        <f>IF(F615&gt;$T$2,"buy",IF(F615&lt;0,"sell","keep"))</f>
        <v>buy</v>
      </c>
      <c r="I615" t="str">
        <f t="shared" si="85"/>
        <v>buy</v>
      </c>
      <c r="J615">
        <f t="shared" si="84"/>
        <v>1</v>
      </c>
      <c r="K615" t="str">
        <f t="shared" si="86"/>
        <v>buy</v>
      </c>
      <c r="L615">
        <f t="shared" si="81"/>
        <v>1</v>
      </c>
      <c r="M615">
        <f t="shared" si="82"/>
        <v>0</v>
      </c>
      <c r="N615">
        <f t="shared" si="87"/>
        <v>1</v>
      </c>
      <c r="O615">
        <f t="shared" si="88"/>
        <v>0</v>
      </c>
      <c r="P615">
        <f t="shared" si="89"/>
        <v>1804.4824191682651</v>
      </c>
      <c r="Q615">
        <f>Q614+(Q614*E615/100)</f>
        <v>1543.1309174953055</v>
      </c>
    </row>
    <row r="616" spans="1:17" x14ac:dyDescent="0.25">
      <c r="A616" s="1">
        <v>45985</v>
      </c>
      <c r="B616">
        <v>2.6167101507897201</v>
      </c>
      <c r="C616">
        <v>-1.22837510576038</v>
      </c>
      <c r="D616">
        <v>-2.8652480367324098</v>
      </c>
      <c r="E616">
        <v>0.26219792978157103</v>
      </c>
      <c r="F616" s="3">
        <v>-0.12837184862517401</v>
      </c>
      <c r="G616">
        <f t="shared" si="83"/>
        <v>0.15689737437312101</v>
      </c>
      <c r="H616" t="str">
        <f>IF(F616&gt;$T$2,"buy",IF(F616&lt;0,"sell","keep"))</f>
        <v>sell</v>
      </c>
      <c r="I616" t="str">
        <f t="shared" si="85"/>
        <v>sell</v>
      </c>
      <c r="J616">
        <f t="shared" si="84"/>
        <v>0</v>
      </c>
      <c r="K616" t="str">
        <f t="shared" si="86"/>
        <v>sell</v>
      </c>
      <c r="L616">
        <f t="shared" si="81"/>
        <v>0</v>
      </c>
      <c r="M616">
        <f t="shared" si="82"/>
        <v>1</v>
      </c>
      <c r="N616">
        <f t="shared" si="87"/>
        <v>0</v>
      </c>
      <c r="O616">
        <f t="shared" si="88"/>
        <v>1809.2137347145967</v>
      </c>
      <c r="P616">
        <f t="shared" si="89"/>
        <v>0</v>
      </c>
      <c r="Q616">
        <f>Q615+(Q615*E616/100)</f>
        <v>1547.1769748147976</v>
      </c>
    </row>
    <row r="617" spans="1:17" x14ac:dyDescent="0.25">
      <c r="A617" s="1">
        <v>45986</v>
      </c>
      <c r="B617">
        <v>0.58097064947490995</v>
      </c>
      <c r="C617">
        <v>4.4156386488380897E-2</v>
      </c>
      <c r="D617">
        <v>0.99778066183391301</v>
      </c>
      <c r="E617">
        <v>0.15689737437312101</v>
      </c>
      <c r="F617" s="3">
        <v>0.20252283622589001</v>
      </c>
      <c r="G617">
        <f t="shared" si="83"/>
        <v>1.14883146258781</v>
      </c>
      <c r="H617" t="str">
        <f>IF(F617&gt;$T$2,"buy",IF(F617&lt;0,"sell","keep"))</f>
        <v>buy</v>
      </c>
      <c r="I617" t="str">
        <f t="shared" si="85"/>
        <v>buy</v>
      </c>
      <c r="J617">
        <f t="shared" si="84"/>
        <v>1</v>
      </c>
      <c r="K617" t="str">
        <f t="shared" si="86"/>
        <v>buy</v>
      </c>
      <c r="L617">
        <f t="shared" si="81"/>
        <v>1</v>
      </c>
      <c r="M617">
        <f t="shared" si="82"/>
        <v>0</v>
      </c>
      <c r="N617">
        <f t="shared" si="87"/>
        <v>1</v>
      </c>
      <c r="O617">
        <f t="shared" si="88"/>
        <v>0</v>
      </c>
      <c r="P617">
        <f t="shared" si="89"/>
        <v>1809.2137347145967</v>
      </c>
      <c r="Q617">
        <f>Q616+(Q616*E617/100)</f>
        <v>1549.6044548651876</v>
      </c>
    </row>
    <row r="618" spans="1:17" x14ac:dyDescent="0.25">
      <c r="A618" s="1">
        <v>45987</v>
      </c>
      <c r="B618">
        <v>0.87367870470122999</v>
      </c>
      <c r="C618">
        <v>1.22564941770431E-2</v>
      </c>
      <c r="D618">
        <v>-1.78601917253455</v>
      </c>
      <c r="E618">
        <v>1.14883146258781</v>
      </c>
      <c r="F618" s="3">
        <v>1.6621769645692501E-2</v>
      </c>
      <c r="G618">
        <f t="shared" si="83"/>
        <v>-0.71980098460372399</v>
      </c>
      <c r="H618" t="str">
        <f>IF(F618&gt;$T$2,"buy",IF(F618&lt;0,"sell","keep"))</f>
        <v>keep</v>
      </c>
      <c r="I618" t="str">
        <f t="shared" si="85"/>
        <v>sell</v>
      </c>
      <c r="J618">
        <f t="shared" si="84"/>
        <v>0</v>
      </c>
      <c r="K618" t="str">
        <f t="shared" si="86"/>
        <v>sell</v>
      </c>
      <c r="L618">
        <f t="shared" si="81"/>
        <v>0</v>
      </c>
      <c r="M618">
        <f t="shared" si="82"/>
        <v>1</v>
      </c>
      <c r="N618">
        <f t="shared" si="87"/>
        <v>0</v>
      </c>
      <c r="O618">
        <f t="shared" si="88"/>
        <v>1829.998551324458</v>
      </c>
      <c r="P618">
        <f t="shared" si="89"/>
        <v>0</v>
      </c>
      <c r="Q618">
        <f>Q617+(Q617*E618/100)</f>
        <v>1567.4067983883413</v>
      </c>
    </row>
    <row r="619" spans="1:17" x14ac:dyDescent="0.25">
      <c r="A619" s="1">
        <v>45992</v>
      </c>
      <c r="B619">
        <v>-0.36186912293828499</v>
      </c>
      <c r="C619">
        <v>-0.77500572930935197</v>
      </c>
      <c r="D619">
        <v>-1.1374584370310501</v>
      </c>
      <c r="E619">
        <v>-0.71980098460372399</v>
      </c>
      <c r="F619" s="3">
        <v>-0.242163906340922</v>
      </c>
      <c r="G619">
        <f t="shared" si="83"/>
        <v>-7.7676799913395295E-2</v>
      </c>
      <c r="H619" t="str">
        <f>IF(F619&gt;$T$2,"buy",IF(F619&lt;0,"sell","keep"))</f>
        <v>sell</v>
      </c>
      <c r="I619" t="str">
        <f t="shared" si="85"/>
        <v>sell</v>
      </c>
      <c r="J619">
        <f t="shared" si="84"/>
        <v>1</v>
      </c>
      <c r="K619" t="str">
        <f t="shared" si="86"/>
        <v>keep</v>
      </c>
      <c r="L619">
        <f t="shared" si="81"/>
        <v>0</v>
      </c>
      <c r="M619">
        <f t="shared" si="82"/>
        <v>0</v>
      </c>
      <c r="N619">
        <f t="shared" si="87"/>
        <v>0</v>
      </c>
      <c r="O619">
        <f t="shared" si="88"/>
        <v>1829.998551324458</v>
      </c>
      <c r="P619">
        <f t="shared" si="89"/>
        <v>0</v>
      </c>
      <c r="Q619">
        <f>Q618+(Q618*E619/100)</f>
        <v>1556.1245888207964</v>
      </c>
    </row>
    <row r="620" spans="1:17" x14ac:dyDescent="0.25">
      <c r="A620" s="1">
        <v>45993</v>
      </c>
      <c r="B620">
        <v>0.84051229008674699</v>
      </c>
      <c r="C620">
        <v>0.40526744612070498</v>
      </c>
      <c r="D620">
        <v>-0.32873116534753999</v>
      </c>
      <c r="E620">
        <v>-7.7676799913395295E-2</v>
      </c>
      <c r="F620" s="3">
        <v>0.20535567547011299</v>
      </c>
      <c r="G620">
        <f t="shared" si="83"/>
        <v>-1.0365419131828599</v>
      </c>
      <c r="H620" t="str">
        <f>IF(F620&gt;$T$2,"buy",IF(F620&lt;0,"sell","keep"))</f>
        <v>buy</v>
      </c>
      <c r="I620" t="str">
        <f t="shared" si="85"/>
        <v>buy</v>
      </c>
      <c r="J620">
        <f t="shared" si="84"/>
        <v>0</v>
      </c>
      <c r="K620" t="str">
        <f t="shared" si="86"/>
        <v>buy</v>
      </c>
      <c r="L620">
        <f t="shared" si="81"/>
        <v>1</v>
      </c>
      <c r="M620">
        <f t="shared" si="82"/>
        <v>0</v>
      </c>
      <c r="N620">
        <f t="shared" si="87"/>
        <v>0</v>
      </c>
      <c r="O620">
        <f t="shared" si="88"/>
        <v>0</v>
      </c>
      <c r="P620">
        <f t="shared" si="89"/>
        <v>1829.998551324458</v>
      </c>
      <c r="Q620">
        <f>Q619+(Q619*E620/100)</f>
        <v>1554.9158410375348</v>
      </c>
    </row>
    <row r="621" spans="1:17" x14ac:dyDescent="0.25">
      <c r="A621" s="1">
        <v>45994</v>
      </c>
      <c r="B621">
        <v>0.198309463032875</v>
      </c>
      <c r="C621">
        <v>0.45667345442807999</v>
      </c>
      <c r="D621">
        <v>2.6162153579888301</v>
      </c>
      <c r="E621">
        <v>-1.0365419131828599</v>
      </c>
      <c r="F621" s="3">
        <v>0.37159870923374799</v>
      </c>
      <c r="G621">
        <f t="shared" si="83"/>
        <v>0.96884723720116395</v>
      </c>
      <c r="H621" t="str">
        <f>IF(F621&gt;$T$2,"buy",IF(F621&lt;0,"sell","keep"))</f>
        <v>buy</v>
      </c>
      <c r="I621" t="str">
        <f t="shared" si="85"/>
        <v>buy</v>
      </c>
      <c r="J621">
        <f t="shared" si="84"/>
        <v>1</v>
      </c>
      <c r="K621" t="str">
        <f t="shared" si="86"/>
        <v>keep</v>
      </c>
      <c r="L621">
        <f t="shared" si="81"/>
        <v>0</v>
      </c>
      <c r="M621">
        <f t="shared" si="82"/>
        <v>0</v>
      </c>
      <c r="N621">
        <f t="shared" si="87"/>
        <v>0</v>
      </c>
      <c r="O621">
        <f t="shared" si="88"/>
        <v>0</v>
      </c>
      <c r="P621">
        <f t="shared" si="89"/>
        <v>1828.5770670113277</v>
      </c>
      <c r="Q621">
        <f>Q620+(Q620*E621/100)</f>
        <v>1538.798486630461</v>
      </c>
    </row>
    <row r="622" spans="1:17" x14ac:dyDescent="0.25">
      <c r="A622" s="1">
        <v>45995</v>
      </c>
      <c r="B622">
        <v>-9.7005861234789006E-2</v>
      </c>
      <c r="C622">
        <v>-1.3246933865352799</v>
      </c>
      <c r="D622">
        <v>-0.66451883362310604</v>
      </c>
      <c r="E622">
        <v>0.96884723720116395</v>
      </c>
      <c r="F622" s="3">
        <v>-0.28875040023654902</v>
      </c>
      <c r="G622">
        <f t="shared" si="83"/>
        <v>-2.5939149051479302E-2</v>
      </c>
      <c r="H622" t="str">
        <f>IF(F622&gt;$T$2,"buy",IF(F622&lt;0,"sell","keep"))</f>
        <v>sell</v>
      </c>
      <c r="I622" t="str">
        <f t="shared" si="85"/>
        <v>sell</v>
      </c>
      <c r="J622">
        <f t="shared" si="84"/>
        <v>1</v>
      </c>
      <c r="K622" t="str">
        <f t="shared" si="86"/>
        <v>sell</v>
      </c>
      <c r="L622">
        <f t="shared" si="81"/>
        <v>0</v>
      </c>
      <c r="M622">
        <f t="shared" si="82"/>
        <v>1</v>
      </c>
      <c r="N622">
        <f t="shared" si="87"/>
        <v>1</v>
      </c>
      <c r="O622">
        <f t="shared" si="88"/>
        <v>1846.293185405161</v>
      </c>
      <c r="P622">
        <f t="shared" si="89"/>
        <v>0</v>
      </c>
      <c r="Q622">
        <f>Q621+(Q621*E622/100)</f>
        <v>1553.7070932542736</v>
      </c>
    </row>
    <row r="623" spans="1:17" x14ac:dyDescent="0.25">
      <c r="A623" s="1">
        <v>45996</v>
      </c>
      <c r="B623">
        <v>0.43136916573203099</v>
      </c>
      <c r="C623">
        <v>-1.03039247737524</v>
      </c>
      <c r="D623">
        <v>-1.1499346362854601</v>
      </c>
      <c r="E623">
        <v>-2.5939149051479302E-2</v>
      </c>
      <c r="F623" s="3">
        <v>-0.20491026712414601</v>
      </c>
      <c r="G623">
        <f t="shared" si="83"/>
        <v>0.70039030637412103</v>
      </c>
      <c r="H623" t="str">
        <f>IF(F623&gt;$T$2,"buy",IF(F623&lt;0,"sell","keep"))</f>
        <v>sell</v>
      </c>
      <c r="I623" t="str">
        <f t="shared" si="85"/>
        <v>sell</v>
      </c>
      <c r="J623">
        <f t="shared" si="84"/>
        <v>0</v>
      </c>
      <c r="K623" t="str">
        <f t="shared" si="86"/>
        <v>keep</v>
      </c>
      <c r="L623">
        <f t="shared" si="81"/>
        <v>0</v>
      </c>
      <c r="M623">
        <f t="shared" si="82"/>
        <v>0</v>
      </c>
      <c r="N623">
        <f t="shared" si="87"/>
        <v>0</v>
      </c>
      <c r="O623">
        <f t="shared" si="88"/>
        <v>1846.293185405161</v>
      </c>
      <c r="P623">
        <f t="shared" si="89"/>
        <v>0</v>
      </c>
      <c r="Q623">
        <f>Q622+(Q622*E623/100)</f>
        <v>1553.3040748555309</v>
      </c>
    </row>
    <row r="624" spans="1:17" x14ac:dyDescent="0.25">
      <c r="A624" s="1">
        <v>45999</v>
      </c>
      <c r="B624">
        <v>-0.24949959443012401</v>
      </c>
      <c r="C624">
        <v>-2.5502420738846499</v>
      </c>
      <c r="D624">
        <v>-1.3092693957275101</v>
      </c>
      <c r="E624">
        <v>0.70039030637412103</v>
      </c>
      <c r="F624" s="3">
        <v>-0.60256410762846802</v>
      </c>
      <c r="G624">
        <f t="shared" si="83"/>
        <v>0.54095591479525995</v>
      </c>
      <c r="H624" t="str">
        <f>IF(F624&gt;$T$2,"buy",IF(F624&lt;0,"sell","keep"))</f>
        <v>sell</v>
      </c>
      <c r="I624" t="str">
        <f t="shared" si="85"/>
        <v>sell</v>
      </c>
      <c r="J624">
        <f t="shared" si="84"/>
        <v>0</v>
      </c>
      <c r="K624" t="str">
        <f t="shared" si="86"/>
        <v>keep</v>
      </c>
      <c r="L624">
        <f t="shared" si="81"/>
        <v>0</v>
      </c>
      <c r="M624">
        <f t="shared" si="82"/>
        <v>0</v>
      </c>
      <c r="N624">
        <f t="shared" si="87"/>
        <v>0</v>
      </c>
      <c r="O624">
        <f t="shared" si="88"/>
        <v>1846.293185405161</v>
      </c>
      <c r="P624">
        <f t="shared" si="89"/>
        <v>0</v>
      </c>
      <c r="Q624">
        <f>Q623+(Q623*E624/100)</f>
        <v>1564.1832660243333</v>
      </c>
    </row>
    <row r="625" spans="1:17" x14ac:dyDescent="0.25">
      <c r="A625" s="1">
        <v>46000</v>
      </c>
      <c r="B625">
        <v>0.15896798462982001</v>
      </c>
      <c r="C625">
        <v>0.25681852880476902</v>
      </c>
      <c r="D625">
        <v>-5.8259924748116303E-2</v>
      </c>
      <c r="E625">
        <v>0.54095591479525995</v>
      </c>
      <c r="F625" s="3">
        <v>0.117714272232795</v>
      </c>
      <c r="G625">
        <f t="shared" si="83"/>
        <v>0.53805510053286298</v>
      </c>
      <c r="H625" t="str">
        <f>IF(F625&gt;$T$2,"buy",IF(F625&lt;0,"sell","keep"))</f>
        <v>keep</v>
      </c>
      <c r="I625" t="str">
        <f t="shared" si="85"/>
        <v>sell</v>
      </c>
      <c r="J625">
        <f t="shared" si="84"/>
        <v>1</v>
      </c>
      <c r="K625" t="str">
        <f t="shared" si="86"/>
        <v>keep</v>
      </c>
      <c r="L625">
        <f t="shared" si="81"/>
        <v>0</v>
      </c>
      <c r="M625">
        <f t="shared" si="82"/>
        <v>0</v>
      </c>
      <c r="N625">
        <f t="shared" si="87"/>
        <v>0</v>
      </c>
      <c r="O625">
        <f t="shared" si="88"/>
        <v>1846.293185405161</v>
      </c>
      <c r="P625">
        <f t="shared" si="89"/>
        <v>0</v>
      </c>
      <c r="Q625">
        <f>Q624+(Q624*E625/100)</f>
        <v>1572.6448079201296</v>
      </c>
    </row>
    <row r="626" spans="1:17" x14ac:dyDescent="0.25">
      <c r="A626" s="1">
        <v>46001</v>
      </c>
      <c r="B626">
        <v>0.41977211262291803</v>
      </c>
      <c r="C626">
        <v>0.58916639279698002</v>
      </c>
      <c r="D626">
        <v>0.98209782391562805</v>
      </c>
      <c r="E626">
        <v>0.53805510053286298</v>
      </c>
      <c r="F626" s="3">
        <v>0.29790172516269298</v>
      </c>
      <c r="G626">
        <f t="shared" si="83"/>
        <v>1.7074366470095601</v>
      </c>
      <c r="H626" t="str">
        <f>IF(F626&gt;$T$2,"buy",IF(F626&lt;0,"sell","keep"))</f>
        <v>buy</v>
      </c>
      <c r="I626" t="str">
        <f t="shared" si="85"/>
        <v>buy</v>
      </c>
      <c r="J626">
        <f t="shared" si="84"/>
        <v>1</v>
      </c>
      <c r="K626" t="str">
        <f t="shared" si="86"/>
        <v>buy</v>
      </c>
      <c r="L626">
        <f t="shared" si="81"/>
        <v>1</v>
      </c>
      <c r="M626">
        <f t="shared" si="82"/>
        <v>0</v>
      </c>
      <c r="N626">
        <f t="shared" si="87"/>
        <v>1</v>
      </c>
      <c r="O626">
        <f t="shared" si="88"/>
        <v>0</v>
      </c>
      <c r="P626">
        <f t="shared" si="89"/>
        <v>1846.293185405161</v>
      </c>
      <c r="Q626">
        <f>Q625+(Q625*E626/100)</f>
        <v>1581.106503522409</v>
      </c>
    </row>
    <row r="627" spans="1:17" x14ac:dyDescent="0.25">
      <c r="A627" s="1">
        <v>46002</v>
      </c>
      <c r="B627">
        <v>-0.34818618049716699</v>
      </c>
      <c r="C627">
        <v>2.7044910143807499</v>
      </c>
      <c r="D627">
        <v>-0.53290357686465095</v>
      </c>
      <c r="E627">
        <v>1.7074366470095601</v>
      </c>
      <c r="F627" s="3">
        <v>0.51232148260916299</v>
      </c>
      <c r="G627">
        <f t="shared" si="83"/>
        <v>1.1776527749939301</v>
      </c>
      <c r="H627" t="str">
        <f>IF(F627&gt;$T$2,"buy",IF(F627&lt;0,"sell","keep"))</f>
        <v>buy</v>
      </c>
      <c r="I627" t="str">
        <f t="shared" si="85"/>
        <v>buy</v>
      </c>
      <c r="J627">
        <f t="shared" si="84"/>
        <v>1</v>
      </c>
      <c r="K627" t="str">
        <f t="shared" si="86"/>
        <v>keep</v>
      </c>
      <c r="L627">
        <f t="shared" si="81"/>
        <v>0</v>
      </c>
      <c r="M627">
        <f t="shared" si="82"/>
        <v>0</v>
      </c>
      <c r="N627">
        <f t="shared" si="87"/>
        <v>0</v>
      </c>
      <c r="O627">
        <f t="shared" si="88"/>
        <v>0</v>
      </c>
      <c r="P627">
        <f t="shared" si="89"/>
        <v>1856.227260060024</v>
      </c>
      <c r="Q627">
        <f>Q626+(Q626*E627/100)</f>
        <v>1608.1028953918021</v>
      </c>
    </row>
    <row r="628" spans="1:17" x14ac:dyDescent="0.25">
      <c r="A628" s="1">
        <v>46003</v>
      </c>
      <c r="B628">
        <v>-1.9074430952618999</v>
      </c>
      <c r="C628">
        <v>3.2085303330207</v>
      </c>
      <c r="D628">
        <v>-0.294665542797034</v>
      </c>
      <c r="E628">
        <v>1.1776527749939301</v>
      </c>
      <c r="F628" s="3">
        <v>0.46570237424755301</v>
      </c>
      <c r="G628">
        <f t="shared" si="83"/>
        <v>0.89153194856110796</v>
      </c>
      <c r="H628" t="str">
        <f>IF(F628&gt;$T$2,"buy",IF(F628&lt;0,"sell","keep"))</f>
        <v>buy</v>
      </c>
      <c r="I628" t="str">
        <f t="shared" si="85"/>
        <v>buy</v>
      </c>
      <c r="J628">
        <f t="shared" si="84"/>
        <v>1</v>
      </c>
      <c r="K628" t="str">
        <f t="shared" si="86"/>
        <v>keep</v>
      </c>
      <c r="L628">
        <f t="shared" si="81"/>
        <v>0</v>
      </c>
      <c r="M628">
        <f t="shared" si="82"/>
        <v>0</v>
      </c>
      <c r="N628">
        <f t="shared" si="87"/>
        <v>0</v>
      </c>
      <c r="O628">
        <f t="shared" si="88"/>
        <v>0</v>
      </c>
      <c r="P628">
        <f t="shared" si="89"/>
        <v>1887.9211645500704</v>
      </c>
      <c r="Q628">
        <f>Q627+(Q627*E628/100)</f>
        <v>1627.0407637641415</v>
      </c>
    </row>
    <row r="629" spans="1:17" x14ac:dyDescent="0.25">
      <c r="A629" s="1">
        <v>46006</v>
      </c>
      <c r="B629">
        <v>-0.51380054114783502</v>
      </c>
      <c r="C629">
        <v>0.180184513164549</v>
      </c>
      <c r="D629">
        <v>1.8493615744565199</v>
      </c>
      <c r="E629">
        <v>0.89153194856110796</v>
      </c>
      <c r="F629" s="3">
        <v>0.18108459482009401</v>
      </c>
      <c r="G629">
        <f t="shared" si="83"/>
        <v>-0.46637808929368402</v>
      </c>
      <c r="H629" t="str">
        <f>IF(F629&gt;$T$2,"buy",IF(F629&lt;0,"sell","keep"))</f>
        <v>buy</v>
      </c>
      <c r="I629" t="str">
        <f t="shared" si="85"/>
        <v>buy</v>
      </c>
      <c r="J629">
        <f t="shared" si="84"/>
        <v>0</v>
      </c>
      <c r="K629" t="str">
        <f t="shared" si="86"/>
        <v>keep</v>
      </c>
      <c r="L629">
        <f t="shared" si="81"/>
        <v>0</v>
      </c>
      <c r="M629">
        <f t="shared" si="82"/>
        <v>0</v>
      </c>
      <c r="N629">
        <f t="shared" si="87"/>
        <v>0</v>
      </c>
      <c r="O629">
        <f t="shared" si="88"/>
        <v>0</v>
      </c>
      <c r="P629">
        <f t="shared" si="89"/>
        <v>1910.154320534092</v>
      </c>
      <c r="Q629">
        <f>Q628+(Q628*E629/100)</f>
        <v>1641.5463519892114</v>
      </c>
    </row>
    <row r="630" spans="1:17" x14ac:dyDescent="0.25">
      <c r="A630" s="1">
        <v>46007</v>
      </c>
      <c r="B630">
        <v>0.26197477069902497</v>
      </c>
      <c r="C630">
        <v>1.56359137723793</v>
      </c>
      <c r="D630">
        <v>-1.66190477446389</v>
      </c>
      <c r="E630">
        <v>-0.46637808929368402</v>
      </c>
      <c r="F630" s="3">
        <v>0.28100332923896798</v>
      </c>
      <c r="G630">
        <f t="shared" si="83"/>
        <v>1.0850861891117101</v>
      </c>
      <c r="H630" t="str">
        <f>IF(F630&gt;$T$2,"buy",IF(F630&lt;0,"sell","keep"))</f>
        <v>buy</v>
      </c>
      <c r="I630" t="str">
        <f t="shared" si="85"/>
        <v>buy</v>
      </c>
      <c r="J630">
        <f t="shared" si="84"/>
        <v>1</v>
      </c>
      <c r="K630" t="str">
        <f t="shared" si="86"/>
        <v>keep</v>
      </c>
      <c r="L630">
        <f t="shared" si="81"/>
        <v>0</v>
      </c>
      <c r="M630">
        <f t="shared" si="82"/>
        <v>0</v>
      </c>
      <c r="N630">
        <f t="shared" si="87"/>
        <v>0</v>
      </c>
      <c r="O630">
        <f t="shared" si="88"/>
        <v>0</v>
      </c>
      <c r="P630">
        <f t="shared" si="89"/>
        <v>1927.1839565684738</v>
      </c>
      <c r="Q630">
        <f>Q629+(Q629*E630/100)</f>
        <v>1633.890539477934</v>
      </c>
    </row>
    <row r="631" spans="1:17" x14ac:dyDescent="0.25">
      <c r="A631" s="1">
        <v>46008</v>
      </c>
      <c r="B631">
        <v>-1.9310517937234499</v>
      </c>
      <c r="C631">
        <v>-0.276265826250921</v>
      </c>
      <c r="D631">
        <v>0.28613397297654303</v>
      </c>
      <c r="E631">
        <v>1.0850861891117101</v>
      </c>
      <c r="F631" s="3">
        <v>-0.198362761219784</v>
      </c>
      <c r="G631">
        <f t="shared" si="83"/>
        <v>-0.39033871885923999</v>
      </c>
      <c r="H631" t="str">
        <f>IF(F631&gt;$T$2,"buy",IF(F631&lt;0,"sell","keep"))</f>
        <v>sell</v>
      </c>
      <c r="I631" t="str">
        <f t="shared" si="85"/>
        <v>sell</v>
      </c>
      <c r="J631">
        <f t="shared" si="84"/>
        <v>1</v>
      </c>
      <c r="K631" t="str">
        <f t="shared" si="86"/>
        <v>sell</v>
      </c>
      <c r="L631">
        <f t="shared" si="81"/>
        <v>0</v>
      </c>
      <c r="M631">
        <f t="shared" si="82"/>
        <v>1</v>
      </c>
      <c r="N631">
        <f t="shared" si="87"/>
        <v>1</v>
      </c>
      <c r="O631">
        <f t="shared" si="88"/>
        <v>1948.095563519975</v>
      </c>
      <c r="P631">
        <f t="shared" si="89"/>
        <v>0</v>
      </c>
      <c r="Q631">
        <f>Q630+(Q630*E631/100)</f>
        <v>1651.6196600670119</v>
      </c>
    </row>
    <row r="632" spans="1:17" x14ac:dyDescent="0.25">
      <c r="A632" s="1">
        <v>46009</v>
      </c>
      <c r="B632">
        <v>1.5082994864486801</v>
      </c>
      <c r="C632">
        <v>-0.79320124368128497</v>
      </c>
      <c r="D632">
        <v>-0.66425071082533105</v>
      </c>
      <c r="E632">
        <v>-0.39033871885923999</v>
      </c>
      <c r="F632" s="3">
        <v>1.29636815851346E-2</v>
      </c>
      <c r="G632">
        <f t="shared" si="83"/>
        <v>0.90619376755294301</v>
      </c>
      <c r="H632" t="str">
        <f>IF(F632&gt;$T$2,"buy",IF(F632&lt;0,"sell","keep"))</f>
        <v>keep</v>
      </c>
      <c r="I632" t="str">
        <f t="shared" si="85"/>
        <v>sell</v>
      </c>
      <c r="J632">
        <f t="shared" si="84"/>
        <v>1</v>
      </c>
      <c r="K632" t="str">
        <f t="shared" si="86"/>
        <v>keep</v>
      </c>
      <c r="L632">
        <f t="shared" si="81"/>
        <v>0</v>
      </c>
      <c r="M632">
        <f t="shared" si="82"/>
        <v>0</v>
      </c>
      <c r="N632">
        <f t="shared" si="87"/>
        <v>0</v>
      </c>
      <c r="O632">
        <f t="shared" si="88"/>
        <v>1948.095563519975</v>
      </c>
      <c r="P632">
        <f t="shared" si="89"/>
        <v>0</v>
      </c>
      <c r="Q632">
        <f>Q631+(Q631*E632/100)</f>
        <v>1645.1727490454789</v>
      </c>
    </row>
    <row r="633" spans="1:17" x14ac:dyDescent="0.25">
      <c r="A633" s="1">
        <v>46010</v>
      </c>
      <c r="B633">
        <v>1.3062301652696</v>
      </c>
      <c r="C633">
        <v>0.58235339704448796</v>
      </c>
      <c r="D633">
        <v>1.79516615146297</v>
      </c>
      <c r="E633">
        <v>0.90619376755294301</v>
      </c>
      <c r="F633" s="3">
        <v>0.46765524747979298</v>
      </c>
      <c r="G633">
        <f t="shared" si="83"/>
        <v>-0.24272399749155599</v>
      </c>
      <c r="H633" t="str">
        <f>IF(F633&gt;$T$2,"buy",IF(F633&lt;0,"sell","keep"))</f>
        <v>buy</v>
      </c>
      <c r="I633" t="str">
        <f t="shared" si="85"/>
        <v>buy</v>
      </c>
      <c r="J633">
        <f t="shared" si="84"/>
        <v>0</v>
      </c>
      <c r="K633" t="str">
        <f t="shared" si="86"/>
        <v>buy</v>
      </c>
      <c r="L633">
        <f t="shared" si="81"/>
        <v>1</v>
      </c>
      <c r="M633">
        <f t="shared" si="82"/>
        <v>0</v>
      </c>
      <c r="N633">
        <f t="shared" si="87"/>
        <v>0</v>
      </c>
      <c r="O633">
        <f t="shared" si="88"/>
        <v>0</v>
      </c>
      <c r="P633">
        <f t="shared" si="89"/>
        <v>1948.095563519975</v>
      </c>
      <c r="Q633">
        <f>Q632+(Q632*E633/100)</f>
        <v>1660.0812019628083</v>
      </c>
    </row>
    <row r="634" spans="1:17" x14ac:dyDescent="0.25">
      <c r="A634" s="1">
        <v>46013</v>
      </c>
      <c r="B634">
        <v>0.45576703343175301</v>
      </c>
      <c r="C634">
        <v>0.49356171273835497</v>
      </c>
      <c r="D634">
        <v>0.48055669275761598</v>
      </c>
      <c r="E634">
        <v>-0.24272399749155599</v>
      </c>
      <c r="F634" s="3">
        <v>0.24893878457100499</v>
      </c>
      <c r="G634">
        <f t="shared" si="83"/>
        <v>2.4336098787847101E-2</v>
      </c>
      <c r="H634" t="str">
        <f>IF(F634&gt;$T$2,"buy",IF(F634&lt;0,"sell","keep"))</f>
        <v>buy</v>
      </c>
      <c r="I634" t="str">
        <f t="shared" si="85"/>
        <v>buy</v>
      </c>
      <c r="J634">
        <f t="shared" si="84"/>
        <v>1</v>
      </c>
      <c r="K634" t="str">
        <f t="shared" si="86"/>
        <v>keep</v>
      </c>
      <c r="L634">
        <f t="shared" si="81"/>
        <v>0</v>
      </c>
      <c r="M634">
        <f t="shared" si="82"/>
        <v>0</v>
      </c>
      <c r="N634">
        <f t="shared" si="87"/>
        <v>0</v>
      </c>
      <c r="O634">
        <f t="shared" si="88"/>
        <v>0</v>
      </c>
      <c r="P634">
        <f t="shared" si="89"/>
        <v>1965.7490841025685</v>
      </c>
      <c r="Q634">
        <f>Q633+(Q633*E634/100)</f>
        <v>1656.0517865077984</v>
      </c>
    </row>
    <row r="635" spans="1:17" x14ac:dyDescent="0.25">
      <c r="A635" s="1">
        <v>46014</v>
      </c>
      <c r="B635">
        <v>0.49537486988344698</v>
      </c>
      <c r="C635">
        <v>0.37543300069118302</v>
      </c>
      <c r="D635">
        <v>0.38611482210244502</v>
      </c>
      <c r="E635">
        <v>2.4336098787847101E-2</v>
      </c>
      <c r="F635" s="3">
        <v>0.221442302303894</v>
      </c>
      <c r="G635">
        <f t="shared" si="83"/>
        <v>7.2971974827273897E-2</v>
      </c>
      <c r="H635" t="str">
        <f>IF(F635&gt;$T$2,"buy",IF(F635&lt;0,"sell","keep"))</f>
        <v>buy</v>
      </c>
      <c r="I635" t="str">
        <f t="shared" si="85"/>
        <v>buy</v>
      </c>
      <c r="J635">
        <f t="shared" si="84"/>
        <v>1</v>
      </c>
      <c r="K635" t="str">
        <f t="shared" si="86"/>
        <v>keep</v>
      </c>
      <c r="L635">
        <f t="shared" si="81"/>
        <v>0</v>
      </c>
      <c r="M635">
        <f t="shared" si="82"/>
        <v>0</v>
      </c>
      <c r="N635">
        <f t="shared" si="87"/>
        <v>0</v>
      </c>
      <c r="O635">
        <f t="shared" si="88"/>
        <v>0</v>
      </c>
      <c r="P635">
        <f t="shared" si="89"/>
        <v>1960.977739344981</v>
      </c>
      <c r="Q635">
        <f>Q634+(Q634*E635/100)</f>
        <v>1656.4548049065409</v>
      </c>
    </row>
    <row r="636" spans="1:17" x14ac:dyDescent="0.25">
      <c r="A636" s="1">
        <v>46015</v>
      </c>
      <c r="B636">
        <v>0.26700315068297598</v>
      </c>
      <c r="C636">
        <v>-4.7050624361211199E-2</v>
      </c>
      <c r="D636">
        <v>0.48079554098188199</v>
      </c>
      <c r="E636">
        <v>7.2971974827273897E-2</v>
      </c>
      <c r="F636" s="3">
        <v>0.114171447761997</v>
      </c>
      <c r="G636">
        <f t="shared" si="83"/>
        <v>0.68526376679969303</v>
      </c>
      <c r="H636" t="str">
        <f>IF(F636&gt;$T$2,"buy",IF(F636&lt;0,"sell","keep"))</f>
        <v>keep</v>
      </c>
      <c r="I636" t="str">
        <f t="shared" si="85"/>
        <v>sell</v>
      </c>
      <c r="J636">
        <f t="shared" si="84"/>
        <v>1</v>
      </c>
      <c r="K636" t="str">
        <f t="shared" si="86"/>
        <v>sell</v>
      </c>
      <c r="L636">
        <f t="shared" si="81"/>
        <v>0</v>
      </c>
      <c r="M636">
        <f t="shared" si="82"/>
        <v>1</v>
      </c>
      <c r="N636">
        <f t="shared" si="87"/>
        <v>1</v>
      </c>
      <c r="O636">
        <f t="shared" si="88"/>
        <v>1962.4087035273044</v>
      </c>
      <c r="P636">
        <f t="shared" si="89"/>
        <v>0</v>
      </c>
      <c r="Q636">
        <f>Q635+(Q635*E636/100)</f>
        <v>1657.6635526898024</v>
      </c>
    </row>
    <row r="637" spans="1:17" x14ac:dyDescent="0.25">
      <c r="A637" s="1">
        <v>46021</v>
      </c>
      <c r="B637">
        <v>-0.24681142607743101</v>
      </c>
      <c r="C637">
        <v>0.42668372724266002</v>
      </c>
      <c r="D637">
        <v>-0.476519103709105</v>
      </c>
      <c r="E637">
        <v>0.68526376679969303</v>
      </c>
      <c r="F637" s="3">
        <v>8.2187049388946498E-2</v>
      </c>
      <c r="G637">
        <f t="shared" si="83"/>
        <v>-0.43753113234384899</v>
      </c>
      <c r="H637" t="str">
        <f>IF(F637&gt;$T$2,"buy",IF(F637&lt;0,"sell","keep"))</f>
        <v>keep</v>
      </c>
      <c r="I637" t="str">
        <f t="shared" si="85"/>
        <v>sell</v>
      </c>
      <c r="J637">
        <f t="shared" si="84"/>
        <v>0</v>
      </c>
      <c r="K637" t="str">
        <f t="shared" si="86"/>
        <v>keep</v>
      </c>
      <c r="L637">
        <f t="shared" si="81"/>
        <v>0</v>
      </c>
      <c r="M637">
        <f t="shared" si="82"/>
        <v>0</v>
      </c>
      <c r="N637">
        <f t="shared" si="87"/>
        <v>0</v>
      </c>
      <c r="O637">
        <f t="shared" si="88"/>
        <v>1962.4087035273044</v>
      </c>
      <c r="P637">
        <f t="shared" si="89"/>
        <v>0</v>
      </c>
      <c r="Q637">
        <f>Q636+(Q636*E637/100)</f>
        <v>1669.0229203918302</v>
      </c>
    </row>
    <row r="638" spans="1:17" x14ac:dyDescent="0.25">
      <c r="A638" s="1">
        <v>46022</v>
      </c>
      <c r="B638">
        <v>-0.83538706607456603</v>
      </c>
      <c r="C638">
        <v>-0.45988672389840601</v>
      </c>
      <c r="D638">
        <v>-0.54409229095018197</v>
      </c>
      <c r="E638">
        <v>-0.43753113234384899</v>
      </c>
      <c r="F638" s="3">
        <v>-0.17587143975571601</v>
      </c>
      <c r="G638">
        <f t="shared" si="83"/>
        <v>-2.4409965226279601E-2</v>
      </c>
      <c r="H638" t="str">
        <f>IF(F638&gt;$T$2,"buy",IF(F638&lt;0,"sell","keep"))</f>
        <v>sell</v>
      </c>
      <c r="I638" t="str">
        <f t="shared" si="85"/>
        <v>sell</v>
      </c>
      <c r="J638">
        <f t="shared" si="84"/>
        <v>1</v>
      </c>
      <c r="K638" t="str">
        <f t="shared" si="86"/>
        <v>keep</v>
      </c>
      <c r="L638">
        <f t="shared" si="81"/>
        <v>0</v>
      </c>
      <c r="M638">
        <f t="shared" si="82"/>
        <v>0</v>
      </c>
      <c r="N638">
        <f t="shared" si="87"/>
        <v>0</v>
      </c>
      <c r="O638">
        <f t="shared" si="88"/>
        <v>1962.4087035273044</v>
      </c>
      <c r="P638">
        <f t="shared" si="89"/>
        <v>0</v>
      </c>
      <c r="Q638">
        <f>Q637+(Q637*E638/100)</f>
        <v>1661.7204255091615</v>
      </c>
    </row>
    <row r="639" spans="1:17" x14ac:dyDescent="0.25">
      <c r="A639" s="1">
        <v>46024</v>
      </c>
      <c r="B639">
        <v>-0.17298989172506099</v>
      </c>
      <c r="C639">
        <v>0.637906754305128</v>
      </c>
      <c r="D639">
        <v>0.35887382686932101</v>
      </c>
      <c r="E639">
        <v>-2.4409965226279601E-2</v>
      </c>
      <c r="F639" s="3">
        <v>0.196439106881101</v>
      </c>
      <c r="G639">
        <f t="shared" si="83"/>
        <v>-0.31746291988567998</v>
      </c>
      <c r="H639" t="str">
        <f>IF(F639&gt;$T$2,"buy",IF(F639&lt;0,"sell","keep"))</f>
        <v>buy</v>
      </c>
      <c r="I639" t="str">
        <f t="shared" si="85"/>
        <v>buy</v>
      </c>
      <c r="J639">
        <f t="shared" si="84"/>
        <v>0</v>
      </c>
      <c r="K639" t="str">
        <f t="shared" si="86"/>
        <v>buy</v>
      </c>
      <c r="L639">
        <f t="shared" si="81"/>
        <v>1</v>
      </c>
      <c r="M639">
        <f t="shared" si="82"/>
        <v>0</v>
      </c>
      <c r="N639">
        <f t="shared" si="87"/>
        <v>0</v>
      </c>
      <c r="O639">
        <f t="shared" si="88"/>
        <v>0</v>
      </c>
      <c r="P639">
        <f t="shared" si="89"/>
        <v>1962.4087035273044</v>
      </c>
      <c r="Q639">
        <f>Q638+(Q638*E639/100)</f>
        <v>1661.3148001311367</v>
      </c>
    </row>
    <row r="640" spans="1:17" x14ac:dyDescent="0.25">
      <c r="A640" s="1">
        <v>46027</v>
      </c>
      <c r="B640">
        <v>0.77421675419095903</v>
      </c>
      <c r="C640">
        <v>0.92983637952030995</v>
      </c>
      <c r="D640">
        <v>-3.9815099335509401</v>
      </c>
      <c r="E640">
        <v>-0.31746291988567998</v>
      </c>
      <c r="F640" s="3">
        <v>3.76770364449577E-2</v>
      </c>
      <c r="G640">
        <f t="shared" si="83"/>
        <v>-0.68593528023073103</v>
      </c>
      <c r="H640" t="str">
        <f>IF(F640&gt;$T$2,"buy",IF(F640&lt;0,"sell","keep"))</f>
        <v>keep</v>
      </c>
      <c r="I640" t="str">
        <f t="shared" si="85"/>
        <v>sell</v>
      </c>
      <c r="J640">
        <f t="shared" si="84"/>
        <v>0</v>
      </c>
      <c r="K640" t="str">
        <f t="shared" si="86"/>
        <v>sell</v>
      </c>
      <c r="L640">
        <f t="shared" ref="L640:L649" si="90">IF(K640="buy",1,0)</f>
        <v>0</v>
      </c>
      <c r="M640">
        <f t="shared" ref="M640:M649" si="91">IF(K640="sell",1,0)</f>
        <v>1</v>
      </c>
      <c r="N640">
        <f t="shared" si="87"/>
        <v>0</v>
      </c>
      <c r="O640">
        <f t="shared" si="88"/>
        <v>1956.178783556996</v>
      </c>
      <c r="P640">
        <f t="shared" si="89"/>
        <v>0</v>
      </c>
      <c r="Q640">
        <f>Q639+(Q639*E640/100)</f>
        <v>1656.0407416581475</v>
      </c>
    </row>
    <row r="641" spans="1:17" x14ac:dyDescent="0.25">
      <c r="A641" s="1">
        <v>46028</v>
      </c>
      <c r="B641">
        <v>0.938496983885861</v>
      </c>
      <c r="C641">
        <v>0.93742726884731198</v>
      </c>
      <c r="D641">
        <v>1.70314879026891</v>
      </c>
      <c r="E641">
        <v>-0.68593528023073103</v>
      </c>
      <c r="F641" s="3">
        <v>0.488463115347753</v>
      </c>
      <c r="G641">
        <f t="shared" si="83"/>
        <v>-0.59201202034229095</v>
      </c>
      <c r="H641" t="str">
        <f>IF(F641&gt;$T$2,"buy",IF(F641&lt;0,"sell","keep"))</f>
        <v>buy</v>
      </c>
      <c r="I641" t="str">
        <f t="shared" si="85"/>
        <v>buy</v>
      </c>
      <c r="J641">
        <f t="shared" si="84"/>
        <v>0</v>
      </c>
      <c r="K641" t="str">
        <f t="shared" si="86"/>
        <v>buy</v>
      </c>
      <c r="L641">
        <f t="shared" si="90"/>
        <v>1</v>
      </c>
      <c r="M641">
        <f t="shared" si="91"/>
        <v>0</v>
      </c>
      <c r="N641">
        <f t="shared" si="87"/>
        <v>0</v>
      </c>
      <c r="O641">
        <f t="shared" si="88"/>
        <v>0</v>
      </c>
      <c r="P641">
        <f t="shared" si="89"/>
        <v>1956.178783556996</v>
      </c>
      <c r="Q641">
        <f>Q640+(Q640*E641/100)</f>
        <v>1644.6813739561196</v>
      </c>
    </row>
    <row r="642" spans="1:17" x14ac:dyDescent="0.25">
      <c r="A642" s="1">
        <v>46029</v>
      </c>
      <c r="B642">
        <v>5.5341704746947301E-2</v>
      </c>
      <c r="C642">
        <v>-0.69082006322016498</v>
      </c>
      <c r="D642">
        <v>4.2379342209480901</v>
      </c>
      <c r="E642">
        <v>-0.59201202034229095</v>
      </c>
      <c r="F642" s="3">
        <v>0.24520603896192</v>
      </c>
      <c r="G642">
        <f t="shared" ref="G642:G649" si="92">E643</f>
        <v>0.34739303299959801</v>
      </c>
      <c r="H642" t="str">
        <f>IF(F642&gt;$T$2,"buy",IF(F642&lt;0,"sell","keep"))</f>
        <v>buy</v>
      </c>
      <c r="I642" t="str">
        <f t="shared" si="85"/>
        <v>buy</v>
      </c>
      <c r="J642">
        <f t="shared" ref="J642:J649" si="93">IF(OR(AND(F642&lt;0,G642&lt;0),AND(F642&gt;0,G642&gt;0)),1,0)</f>
        <v>1</v>
      </c>
      <c r="K642" t="str">
        <f t="shared" si="86"/>
        <v>keep</v>
      </c>
      <c r="L642">
        <f t="shared" si="90"/>
        <v>0</v>
      </c>
      <c r="M642">
        <f t="shared" si="91"/>
        <v>0</v>
      </c>
      <c r="N642">
        <f t="shared" si="87"/>
        <v>0</v>
      </c>
      <c r="O642">
        <f t="shared" si="88"/>
        <v>0</v>
      </c>
      <c r="P642">
        <f t="shared" si="89"/>
        <v>1942.7606631361903</v>
      </c>
      <c r="Q642">
        <f>Q641+(Q641*E642/100)</f>
        <v>1634.9446625259686</v>
      </c>
    </row>
    <row r="643" spans="1:17" x14ac:dyDescent="0.25">
      <c r="A643" s="1">
        <v>46030</v>
      </c>
      <c r="B643">
        <v>-0.57223571860303102</v>
      </c>
      <c r="C643">
        <v>1.2783866047139301</v>
      </c>
      <c r="D643">
        <v>-3.9799500715503999</v>
      </c>
      <c r="E643">
        <v>0.34739303299959801</v>
      </c>
      <c r="F643" s="3">
        <v>-5.9297063808778E-2</v>
      </c>
      <c r="G643">
        <f t="shared" si="92"/>
        <v>-1.1127521353202601</v>
      </c>
      <c r="H643" t="str">
        <f>IF(F643&gt;$T$2,"buy",IF(F643&lt;0,"sell","keep"))</f>
        <v>sell</v>
      </c>
      <c r="I643" t="str">
        <f t="shared" ref="I643:I649" si="94">IF(F643&gt;$T$2,"buy",IF(F643&lt;$T$3,"sell","keep"))</f>
        <v>sell</v>
      </c>
      <c r="J643">
        <f t="shared" si="93"/>
        <v>1</v>
      </c>
      <c r="K643" t="str">
        <f t="shared" ref="K643:K649" si="95">IF(AND(I643="sell",P642&lt;&gt;0),"sell",IF(AND(I643="buy",O642&lt;&gt;0),"buy","keep"))</f>
        <v>sell</v>
      </c>
      <c r="L643">
        <f t="shared" si="90"/>
        <v>0</v>
      </c>
      <c r="M643">
        <f t="shared" si="91"/>
        <v>1</v>
      </c>
      <c r="N643">
        <f t="shared" ref="N643:N649" si="96">IF(AND(J643=1,OR(L643=1,M643=1)),1,0)</f>
        <v>1</v>
      </c>
      <c r="O643">
        <f t="shared" si="88"/>
        <v>1949.5096783277822</v>
      </c>
      <c r="P643">
        <f t="shared" si="89"/>
        <v>0</v>
      </c>
      <c r="Q643">
        <f>Q642+(Q642*E643/100)</f>
        <v>1640.6243463769827</v>
      </c>
    </row>
    <row r="644" spans="1:17" x14ac:dyDescent="0.25">
      <c r="A644" s="1">
        <v>46031</v>
      </c>
      <c r="B644">
        <v>1.0160314587658701</v>
      </c>
      <c r="C644">
        <v>0.99842709783795003</v>
      </c>
      <c r="D644">
        <v>-1.80698474938416</v>
      </c>
      <c r="E644">
        <v>-1.1127521353202601</v>
      </c>
      <c r="F644" s="3">
        <v>0.22427349638906399</v>
      </c>
      <c r="G644">
        <f t="shared" si="92"/>
        <v>-0.60015420953590803</v>
      </c>
      <c r="H644" t="str">
        <f>IF(F644&gt;$T$2,"buy",IF(F644&lt;0,"sell","keep"))</f>
        <v>buy</v>
      </c>
      <c r="I644" t="str">
        <f t="shared" si="94"/>
        <v>buy</v>
      </c>
      <c r="J644">
        <f t="shared" si="93"/>
        <v>0</v>
      </c>
      <c r="K644" t="str">
        <f t="shared" si="95"/>
        <v>buy</v>
      </c>
      <c r="L644">
        <f t="shared" si="90"/>
        <v>1</v>
      </c>
      <c r="M644">
        <f t="shared" si="91"/>
        <v>0</v>
      </c>
      <c r="N644">
        <f t="shared" si="96"/>
        <v>0</v>
      </c>
      <c r="O644">
        <f t="shared" ref="O644:O649" si="97">IF(K644="sell",P643+(P643*E644/100),IF(K644="buy",0,O643))</f>
        <v>0</v>
      </c>
      <c r="P644">
        <f t="shared" ref="P644:P649" si="98">IF(K644="buy",O643,IF(K644="sell",0,IF(AND(K644="keep",P643&lt;&gt;0),P643+(P643*E643/100),P643)))</f>
        <v>1949.5096783277822</v>
      </c>
      <c r="Q644">
        <f>Q643+(Q643*E644/100)</f>
        <v>1622.3682639300887</v>
      </c>
    </row>
    <row r="645" spans="1:17" x14ac:dyDescent="0.25">
      <c r="A645" s="1">
        <v>46034</v>
      </c>
      <c r="B645">
        <v>8.3055867710957104E-2</v>
      </c>
      <c r="C645">
        <v>-0.101328972946157</v>
      </c>
      <c r="D645">
        <v>-1.8178585416706E-2</v>
      </c>
      <c r="E645">
        <v>-0.60015420953590803</v>
      </c>
      <c r="F645" s="3">
        <v>3.9082545262436201E-2</v>
      </c>
      <c r="G645">
        <f t="shared" si="92"/>
        <v>-1.88679245283018</v>
      </c>
      <c r="H645" t="str">
        <f>IF(F645&gt;$T$2,"buy",IF(F645&lt;0,"sell","keep"))</f>
        <v>keep</v>
      </c>
      <c r="I645" t="str">
        <f t="shared" si="94"/>
        <v>sell</v>
      </c>
      <c r="J645">
        <f t="shared" si="93"/>
        <v>0</v>
      </c>
      <c r="K645" t="str">
        <f t="shared" si="95"/>
        <v>sell</v>
      </c>
      <c r="L645">
        <f t="shared" si="90"/>
        <v>0</v>
      </c>
      <c r="M645">
        <f t="shared" si="91"/>
        <v>1</v>
      </c>
      <c r="N645">
        <f t="shared" si="96"/>
        <v>0</v>
      </c>
      <c r="O645">
        <f t="shared" si="97"/>
        <v>1937.809613927988</v>
      </c>
      <c r="P645">
        <f t="shared" si="98"/>
        <v>0</v>
      </c>
      <c r="Q645">
        <f>Q644+(Q644*E645/100)</f>
        <v>1612.6315524999377</v>
      </c>
    </row>
    <row r="646" spans="1:17" x14ac:dyDescent="0.25">
      <c r="A646" s="1">
        <v>46035</v>
      </c>
      <c r="B646">
        <v>-0.177258957280468</v>
      </c>
      <c r="C646">
        <v>-0.16455401534911601</v>
      </c>
      <c r="D646">
        <v>0.322674383449705</v>
      </c>
      <c r="E646">
        <v>-1.88679245283018</v>
      </c>
      <c r="F646" s="3">
        <v>2.1027099487953501E-2</v>
      </c>
      <c r="G646">
        <f t="shared" si="92"/>
        <v>0.230769622020221</v>
      </c>
      <c r="H646" t="str">
        <f>IF(F646&gt;$T$2,"buy",IF(F646&lt;0,"sell","keep"))</f>
        <v>keep</v>
      </c>
      <c r="I646" t="str">
        <f t="shared" si="94"/>
        <v>sell</v>
      </c>
      <c r="J646">
        <f t="shared" si="93"/>
        <v>1</v>
      </c>
      <c r="K646" t="str">
        <f t="shared" si="95"/>
        <v>keep</v>
      </c>
      <c r="L646">
        <f t="shared" si="90"/>
        <v>0</v>
      </c>
      <c r="M646">
        <f t="shared" si="91"/>
        <v>0</v>
      </c>
      <c r="N646">
        <f t="shared" si="96"/>
        <v>0</v>
      </c>
      <c r="O646">
        <f t="shared" si="97"/>
        <v>1937.809613927988</v>
      </c>
      <c r="P646">
        <f t="shared" si="98"/>
        <v>0</v>
      </c>
      <c r="Q646">
        <f>Q645+(Q645*E646/100)</f>
        <v>1582.2045420754107</v>
      </c>
    </row>
    <row r="647" spans="1:17" x14ac:dyDescent="0.25">
      <c r="A647" s="1">
        <v>46036</v>
      </c>
      <c r="B647">
        <v>-1.07221781567325</v>
      </c>
      <c r="C647">
        <v>-0.65928718681326204</v>
      </c>
      <c r="D647">
        <v>0.51641618012985202</v>
      </c>
      <c r="E647">
        <v>0.230769622020221</v>
      </c>
      <c r="F647" s="3">
        <v>-0.16534213096654801</v>
      </c>
      <c r="G647">
        <f t="shared" si="92"/>
        <v>0.69071490588314899</v>
      </c>
      <c r="H647" t="str">
        <f>IF(F647&gt;$T$2,"buy",IF(F647&lt;0,"sell","keep"))</f>
        <v>sell</v>
      </c>
      <c r="I647" t="str">
        <f t="shared" si="94"/>
        <v>sell</v>
      </c>
      <c r="J647">
        <f t="shared" si="93"/>
        <v>0</v>
      </c>
      <c r="K647" t="str">
        <f t="shared" si="95"/>
        <v>keep</v>
      </c>
      <c r="L647">
        <f t="shared" si="90"/>
        <v>0</v>
      </c>
      <c r="M647">
        <f t="shared" si="91"/>
        <v>0</v>
      </c>
      <c r="N647">
        <f t="shared" si="96"/>
        <v>0</v>
      </c>
      <c r="O647">
        <f t="shared" si="97"/>
        <v>1937.809613927988</v>
      </c>
      <c r="P647">
        <f t="shared" si="98"/>
        <v>0</v>
      </c>
      <c r="Q647">
        <f>Q646+(Q646*E647/100)</f>
        <v>1585.8557895167448</v>
      </c>
    </row>
    <row r="648" spans="1:17" x14ac:dyDescent="0.25">
      <c r="A648" s="1">
        <v>46037</v>
      </c>
      <c r="B648">
        <v>0.31858577031622598</v>
      </c>
      <c r="C648">
        <v>1.36364282684597E-2</v>
      </c>
      <c r="D648">
        <v>-2.3164602494281499</v>
      </c>
      <c r="E648">
        <v>0.69071490588314899</v>
      </c>
      <c r="F648" s="3">
        <v>-0.102031615856498</v>
      </c>
      <c r="G648">
        <f t="shared" si="92"/>
        <v>-0.22865892071206501</v>
      </c>
      <c r="H648" t="str">
        <f>IF(F648&gt;$T$2,"buy",IF(F648&lt;0,"sell","keep"))</f>
        <v>sell</v>
      </c>
      <c r="I648" t="str">
        <f t="shared" si="94"/>
        <v>sell</v>
      </c>
      <c r="J648">
        <f t="shared" si="93"/>
        <v>1</v>
      </c>
      <c r="K648" t="str">
        <f t="shared" si="95"/>
        <v>keep</v>
      </c>
      <c r="L648">
        <f t="shared" si="90"/>
        <v>0</v>
      </c>
      <c r="M648">
        <f t="shared" si="91"/>
        <v>0</v>
      </c>
      <c r="N648">
        <f t="shared" si="96"/>
        <v>0</v>
      </c>
      <c r="O648">
        <f t="shared" si="97"/>
        <v>1937.809613927988</v>
      </c>
      <c r="P648">
        <f t="shared" si="98"/>
        <v>0</v>
      </c>
      <c r="Q648">
        <f>Q647+(Q647*E648/100)</f>
        <v>1596.8095318407479</v>
      </c>
    </row>
    <row r="649" spans="1:17" x14ac:dyDescent="0.25">
      <c r="A649" s="1">
        <v>46038</v>
      </c>
      <c r="B649">
        <v>-6.9716592380797401E-2</v>
      </c>
      <c r="C649">
        <v>-0.24543611236965601</v>
      </c>
      <c r="D649">
        <v>-0.311598063265006</v>
      </c>
      <c r="E649">
        <v>-0.22865892071206501</v>
      </c>
      <c r="G649">
        <f t="shared" si="92"/>
        <v>0</v>
      </c>
      <c r="H649" t="str">
        <f>IF(F649&gt;$T$2,"buy",IF(F649&lt;0,"sell","keep"))</f>
        <v>keep</v>
      </c>
      <c r="I649" t="str">
        <f t="shared" si="94"/>
        <v>sell</v>
      </c>
      <c r="J649">
        <f t="shared" si="93"/>
        <v>0</v>
      </c>
      <c r="K649" t="str">
        <f t="shared" si="95"/>
        <v>keep</v>
      </c>
      <c r="L649">
        <f t="shared" si="90"/>
        <v>0</v>
      </c>
      <c r="M649">
        <f t="shared" si="91"/>
        <v>0</v>
      </c>
      <c r="N649">
        <f t="shared" si="96"/>
        <v>0</v>
      </c>
      <c r="O649">
        <f t="shared" si="97"/>
        <v>1937.809613927988</v>
      </c>
      <c r="P649">
        <f t="shared" si="98"/>
        <v>0</v>
      </c>
      <c r="Q649">
        <f>Q648+(Q648*E649/100)</f>
        <v>1593.1582843994136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CS_PREDICTION_DATASET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Caillol</cp:lastModifiedBy>
  <dcterms:created xsi:type="dcterms:W3CDTF">2026-01-19T09:29:25Z</dcterms:created>
  <dcterms:modified xsi:type="dcterms:W3CDTF">2026-01-20T16:07:19Z</dcterms:modified>
</cp:coreProperties>
</file>