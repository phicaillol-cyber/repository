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aillol\Downloads\"/>
    </mc:Choice>
  </mc:AlternateContent>
  <xr:revisionPtr revIDLastSave="0" documentId="13_ncr:1_{03634B19-FCDD-4DB7-AA87-BF90FCEF11E9}" xr6:coauthVersionLast="47" xr6:coauthVersionMax="47" xr10:uidLastSave="{00000000-0000-0000-0000-000000000000}"/>
  <bookViews>
    <workbookView xWindow="-28920" yWindow="-4755" windowWidth="29040" windowHeight="16440" xr2:uid="{AA2C2143-92E7-43FA-9693-79D55DDC1399}"/>
  </bookViews>
  <sheets>
    <sheet name="CS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2" i="1"/>
  <c r="G2" i="1" l="1"/>
  <c r="R3" i="1"/>
  <c r="I3" i="1" s="1"/>
  <c r="M3" i="1" s="1"/>
  <c r="I2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R7" i="1"/>
  <c r="R5" i="1"/>
  <c r="R4" i="1"/>
  <c r="N3" i="1" l="1"/>
  <c r="I4" i="1" s="1"/>
  <c r="R12" i="1" a="1"/>
  <c r="R12" i="1" s="1"/>
  <c r="R6" i="1"/>
  <c r="N4" i="1" l="1"/>
  <c r="M4" i="1"/>
  <c r="J2" i="1"/>
  <c r="K2" i="1"/>
  <c r="L2" i="1" l="1"/>
  <c r="I5" i="1"/>
  <c r="J3" i="1"/>
  <c r="K3" i="1"/>
  <c r="L3" i="1" l="1"/>
  <c r="N5" i="1"/>
  <c r="M5" i="1"/>
  <c r="K4" i="1"/>
  <c r="J4" i="1"/>
  <c r="I6" i="1" l="1"/>
  <c r="M6" i="1" s="1"/>
  <c r="L4" i="1"/>
  <c r="J5" i="1"/>
  <c r="K5" i="1"/>
  <c r="N6" i="1" l="1"/>
  <c r="I7" i="1" s="1"/>
  <c r="M7" i="1" s="1"/>
  <c r="L5" i="1"/>
  <c r="J6" i="1"/>
  <c r="K6" i="1"/>
  <c r="L6" i="1" l="1"/>
  <c r="N7" i="1"/>
  <c r="I8" i="1" s="1"/>
  <c r="N8" i="1" s="1"/>
  <c r="J7" i="1"/>
  <c r="K7" i="1"/>
  <c r="M8" i="1" l="1"/>
  <c r="I9" i="1" s="1"/>
  <c r="N9" i="1" s="1"/>
  <c r="L7" i="1"/>
  <c r="J8" i="1"/>
  <c r="K8" i="1"/>
  <c r="M9" i="1" l="1"/>
  <c r="I10" i="1" s="1"/>
  <c r="L8" i="1"/>
  <c r="J9" i="1"/>
  <c r="K9" i="1"/>
  <c r="N10" i="1" l="1"/>
  <c r="M10" i="1"/>
  <c r="L9" i="1"/>
  <c r="K10" i="1"/>
  <c r="J10" i="1"/>
  <c r="I11" i="1" l="1"/>
  <c r="N11" i="1" s="1"/>
  <c r="L10" i="1"/>
  <c r="J11" i="1" l="1"/>
  <c r="K11" i="1"/>
  <c r="M11" i="1"/>
  <c r="I12" i="1" s="1"/>
  <c r="M12" i="1" s="1"/>
  <c r="L11" i="1" l="1"/>
  <c r="J12" i="1"/>
  <c r="N12" i="1"/>
  <c r="I13" i="1" s="1"/>
  <c r="N13" i="1" s="1"/>
  <c r="K12" i="1"/>
  <c r="L12" i="1" l="1"/>
  <c r="J13" i="1"/>
  <c r="M13" i="1"/>
  <c r="I14" i="1" s="1"/>
  <c r="N14" i="1" s="1"/>
  <c r="K13" i="1"/>
  <c r="L13" i="1" s="1"/>
  <c r="J14" i="1" l="1"/>
  <c r="K14" i="1"/>
  <c r="M14" i="1"/>
  <c r="I15" i="1" s="1"/>
  <c r="N15" i="1" s="1"/>
  <c r="L14" i="1" l="1"/>
  <c r="J15" i="1"/>
  <c r="K15" i="1"/>
  <c r="M15" i="1"/>
  <c r="I16" i="1" s="1"/>
  <c r="M16" i="1" s="1"/>
  <c r="L15" i="1" l="1"/>
  <c r="N16" i="1"/>
  <c r="I17" i="1" s="1"/>
  <c r="K17" i="1" s="1"/>
  <c r="J16" i="1"/>
  <c r="K16" i="1"/>
  <c r="L16" i="1" l="1"/>
  <c r="J17" i="1"/>
  <c r="L17" i="1" s="1"/>
  <c r="N17" i="1"/>
  <c r="M17" i="1"/>
  <c r="I18" i="1" l="1"/>
  <c r="N18" i="1" l="1"/>
  <c r="M18" i="1"/>
  <c r="K18" i="1"/>
  <c r="J18" i="1"/>
  <c r="L18" i="1" l="1"/>
  <c r="I19" i="1"/>
  <c r="N19" i="1" l="1"/>
  <c r="M19" i="1"/>
  <c r="J19" i="1"/>
  <c r="K19" i="1"/>
  <c r="I20" i="1" l="1"/>
  <c r="J20" i="1" s="1"/>
  <c r="L19" i="1"/>
  <c r="N20" i="1" l="1"/>
  <c r="K20" i="1"/>
  <c r="L20" i="1" s="1"/>
  <c r="M20" i="1"/>
  <c r="I21" i="1" l="1"/>
  <c r="N21" i="1" s="1"/>
  <c r="J21" i="1" l="1"/>
  <c r="M21" i="1"/>
  <c r="I22" i="1" s="1"/>
  <c r="K21" i="1"/>
  <c r="L21" i="1" l="1"/>
  <c r="N22" i="1"/>
  <c r="M22" i="1"/>
  <c r="K22" i="1"/>
  <c r="J22" i="1"/>
  <c r="L22" i="1" l="1"/>
  <c r="I23" i="1"/>
  <c r="J23" i="1" s="1"/>
  <c r="M23" i="1" l="1"/>
  <c r="K23" i="1"/>
  <c r="L23" i="1" s="1"/>
  <c r="N23" i="1"/>
  <c r="I24" i="1" l="1"/>
  <c r="N24" i="1" l="1"/>
  <c r="K24" i="1"/>
  <c r="J24" i="1"/>
  <c r="M24" i="1"/>
  <c r="L24" i="1" l="1"/>
  <c r="I25" i="1"/>
  <c r="J25" i="1" l="1"/>
  <c r="K25" i="1"/>
  <c r="M25" i="1"/>
  <c r="N25" i="1"/>
  <c r="I26" i="1" l="1"/>
  <c r="K26" i="1" s="1"/>
  <c r="L25" i="1"/>
  <c r="M26" i="1" l="1"/>
  <c r="N26" i="1"/>
  <c r="J26" i="1"/>
  <c r="L26" i="1" s="1"/>
  <c r="I27" i="1" l="1"/>
  <c r="M27" i="1" s="1"/>
  <c r="N27" i="1" l="1"/>
  <c r="I28" i="1" s="1"/>
  <c r="J27" i="1"/>
  <c r="K27" i="1"/>
  <c r="L27" i="1" s="1"/>
  <c r="J28" i="1" l="1"/>
  <c r="M28" i="1"/>
  <c r="K28" i="1"/>
  <c r="N28" i="1"/>
  <c r="I29" i="1" s="1"/>
  <c r="L28" i="1" l="1"/>
  <c r="N29" i="1"/>
  <c r="K29" i="1"/>
  <c r="J29" i="1"/>
  <c r="M29" i="1"/>
  <c r="L29" i="1" l="1"/>
  <c r="I30" i="1"/>
  <c r="M30" i="1" s="1"/>
  <c r="N30" i="1" l="1"/>
  <c r="I31" i="1" s="1"/>
  <c r="N31" i="1" s="1"/>
  <c r="J30" i="1"/>
  <c r="K30" i="1"/>
  <c r="L30" i="1" s="1"/>
  <c r="K31" i="1" l="1"/>
  <c r="J31" i="1"/>
  <c r="M31" i="1"/>
  <c r="I32" i="1" s="1"/>
  <c r="M32" i="1" s="1"/>
  <c r="L31" i="1" l="1"/>
  <c r="K32" i="1"/>
  <c r="N32" i="1"/>
  <c r="I33" i="1" s="1"/>
  <c r="M33" i="1" s="1"/>
  <c r="J32" i="1"/>
  <c r="L32" i="1" s="1"/>
  <c r="N33" i="1" l="1"/>
  <c r="I34" i="1" s="1"/>
  <c r="N34" i="1" s="1"/>
  <c r="J33" i="1"/>
  <c r="K33" i="1"/>
  <c r="J34" i="1" l="1"/>
  <c r="K34" i="1"/>
  <c r="M34" i="1"/>
  <c r="I35" i="1" s="1"/>
  <c r="L33" i="1"/>
  <c r="L34" i="1" l="1"/>
  <c r="K35" i="1"/>
  <c r="N35" i="1"/>
  <c r="M35" i="1"/>
  <c r="J35" i="1"/>
  <c r="L35" i="1" l="1"/>
  <c r="I36" i="1"/>
  <c r="J36" i="1" l="1"/>
  <c r="K36" i="1"/>
  <c r="N36" i="1"/>
  <c r="M36" i="1"/>
  <c r="I37" i="1" l="1"/>
  <c r="J37" i="1" s="1"/>
  <c r="L36" i="1"/>
  <c r="K37" i="1" l="1"/>
  <c r="L37" i="1" s="1"/>
  <c r="M37" i="1"/>
  <c r="N37" i="1"/>
  <c r="I38" i="1" l="1"/>
  <c r="J38" i="1" s="1"/>
  <c r="N38" i="1" l="1"/>
  <c r="M38" i="1"/>
  <c r="K38" i="1"/>
  <c r="L38" i="1" s="1"/>
  <c r="I39" i="1" l="1"/>
  <c r="K39" i="1" s="1"/>
  <c r="N39" i="1" l="1"/>
  <c r="M39" i="1"/>
  <c r="J39" i="1"/>
  <c r="L39" i="1" s="1"/>
  <c r="I40" i="1" l="1"/>
  <c r="K40" i="1" s="1"/>
  <c r="M40" i="1" l="1"/>
  <c r="J40" i="1"/>
  <c r="L40" i="1" s="1"/>
  <c r="N40" i="1"/>
  <c r="I41" i="1" s="1"/>
  <c r="N41" i="1" s="1"/>
  <c r="M41" i="1" l="1"/>
  <c r="I42" i="1" s="1"/>
  <c r="K42" i="1" s="1"/>
  <c r="K41" i="1"/>
  <c r="J41" i="1"/>
  <c r="L41" i="1" l="1"/>
  <c r="N42" i="1"/>
  <c r="M42" i="1"/>
  <c r="J42" i="1"/>
  <c r="L42" i="1" s="1"/>
  <c r="I43" i="1" l="1"/>
  <c r="N43" i="1" s="1"/>
  <c r="M43" i="1" l="1"/>
  <c r="I44" i="1" s="1"/>
  <c r="N44" i="1" s="1"/>
  <c r="K43" i="1"/>
  <c r="J43" i="1"/>
  <c r="L43" i="1" l="1"/>
  <c r="M44" i="1"/>
  <c r="I45" i="1" s="1"/>
  <c r="J45" i="1" s="1"/>
  <c r="K44" i="1"/>
  <c r="J44" i="1"/>
  <c r="L44" i="1" s="1"/>
  <c r="N45" i="1" l="1"/>
  <c r="M45" i="1"/>
  <c r="I46" i="1" s="1"/>
  <c r="K45" i="1"/>
  <c r="L45" i="1" s="1"/>
  <c r="J46" i="1" l="1"/>
  <c r="N46" i="1"/>
  <c r="K46" i="1"/>
  <c r="M46" i="1"/>
  <c r="I47" i="1" l="1"/>
  <c r="K47" i="1" s="1"/>
  <c r="L46" i="1"/>
  <c r="J47" i="1" l="1"/>
  <c r="L47" i="1" s="1"/>
  <c r="N47" i="1"/>
  <c r="M47" i="1"/>
  <c r="I48" i="1" l="1"/>
  <c r="N48" i="1" l="1"/>
  <c r="J48" i="1"/>
  <c r="M48" i="1"/>
  <c r="K48" i="1"/>
  <c r="I49" i="1" l="1"/>
  <c r="N49" i="1" s="1"/>
  <c r="L48" i="1"/>
  <c r="J49" i="1" l="1"/>
  <c r="K49" i="1"/>
  <c r="L49" i="1" s="1"/>
  <c r="M49" i="1"/>
  <c r="I50" i="1"/>
  <c r="M50" i="1" s="1"/>
  <c r="K50" i="1" l="1"/>
  <c r="J50" i="1"/>
  <c r="N50" i="1"/>
  <c r="I51" i="1" s="1"/>
  <c r="L50" i="1"/>
  <c r="M51" i="1" l="1"/>
  <c r="J51" i="1"/>
  <c r="K51" i="1"/>
  <c r="N51" i="1"/>
  <c r="I52" i="1" s="1"/>
  <c r="K52" i="1" l="1"/>
  <c r="N52" i="1"/>
  <c r="J52" i="1"/>
  <c r="M52" i="1"/>
  <c r="L51" i="1"/>
  <c r="L52" i="1" l="1"/>
  <c r="I53" i="1"/>
  <c r="N53" i="1" l="1"/>
  <c r="J53" i="1"/>
  <c r="M53" i="1"/>
  <c r="K53" i="1"/>
  <c r="L53" i="1" l="1"/>
  <c r="I54" i="1"/>
  <c r="M54" i="1" l="1"/>
  <c r="K54" i="1"/>
  <c r="N54" i="1"/>
  <c r="I55" i="1" s="1"/>
  <c r="J54" i="1"/>
  <c r="L54" i="1" l="1"/>
  <c r="K55" i="1"/>
  <c r="N55" i="1"/>
  <c r="M55" i="1"/>
  <c r="J55" i="1"/>
  <c r="L55" i="1" s="1"/>
  <c r="I56" i="1" l="1"/>
  <c r="J56" i="1" l="1"/>
  <c r="N56" i="1"/>
  <c r="K56" i="1"/>
  <c r="M56" i="1"/>
  <c r="I57" i="1" l="1"/>
  <c r="K57" i="1" s="1"/>
  <c r="L56" i="1"/>
  <c r="J57" i="1" l="1"/>
  <c r="M57" i="1"/>
  <c r="N57" i="1"/>
  <c r="I58" i="1" s="1"/>
  <c r="M58" i="1" s="1"/>
  <c r="L57" i="1"/>
  <c r="N58" i="1" l="1"/>
  <c r="I59" i="1" s="1"/>
  <c r="N59" i="1" s="1"/>
  <c r="J58" i="1"/>
  <c r="K58" i="1"/>
  <c r="L58" i="1" l="1"/>
  <c r="K59" i="1"/>
  <c r="M59" i="1"/>
  <c r="I60" i="1" s="1"/>
  <c r="K60" i="1" s="1"/>
  <c r="J59" i="1"/>
  <c r="L59" i="1" s="1"/>
  <c r="J60" i="1" l="1"/>
  <c r="L60" i="1" s="1"/>
  <c r="M60" i="1"/>
  <c r="N60" i="1"/>
  <c r="I61" i="1" s="1"/>
  <c r="M61" i="1" s="1"/>
  <c r="N61" i="1" l="1"/>
  <c r="I62" i="1" s="1"/>
  <c r="K62" i="1" s="1"/>
  <c r="J61" i="1"/>
  <c r="K61" i="1"/>
  <c r="L61" i="1" l="1"/>
  <c r="M62" i="1"/>
  <c r="N62" i="1"/>
  <c r="I63" i="1" s="1"/>
  <c r="J62" i="1"/>
  <c r="L62" i="1" s="1"/>
  <c r="K63" i="1" l="1"/>
  <c r="J63" i="1"/>
  <c r="N63" i="1"/>
  <c r="M63" i="1"/>
  <c r="I64" i="1" l="1"/>
  <c r="N64" i="1" s="1"/>
  <c r="L63" i="1"/>
  <c r="K64" i="1" l="1"/>
  <c r="J64" i="1"/>
  <c r="L64" i="1" s="1"/>
  <c r="M64" i="1"/>
  <c r="I65" i="1" s="1"/>
  <c r="K65" i="1" l="1"/>
  <c r="N65" i="1"/>
  <c r="M65" i="1"/>
  <c r="J65" i="1"/>
  <c r="L65" i="1" l="1"/>
  <c r="I66" i="1"/>
  <c r="K66" i="1" l="1"/>
  <c r="M66" i="1"/>
  <c r="N66" i="1"/>
  <c r="J66" i="1"/>
  <c r="I67" i="1" l="1"/>
  <c r="M67" i="1" s="1"/>
  <c r="L66" i="1"/>
  <c r="N67" i="1" l="1"/>
  <c r="I68" i="1" s="1"/>
  <c r="M68" i="1" s="1"/>
  <c r="J67" i="1"/>
  <c r="K67" i="1"/>
  <c r="L67" i="1" l="1"/>
  <c r="N68" i="1"/>
  <c r="I69" i="1" s="1"/>
  <c r="K68" i="1"/>
  <c r="J68" i="1"/>
  <c r="L68" i="1" l="1"/>
  <c r="N69" i="1"/>
  <c r="K69" i="1"/>
  <c r="M69" i="1"/>
  <c r="J69" i="1"/>
  <c r="L69" i="1" l="1"/>
  <c r="I70" i="1"/>
  <c r="N70" i="1" s="1"/>
  <c r="M70" i="1" l="1"/>
  <c r="I71" i="1" s="1"/>
  <c r="J71" i="1" s="1"/>
  <c r="K70" i="1"/>
  <c r="J70" i="1"/>
  <c r="L70" i="1" l="1"/>
  <c r="N71" i="1"/>
  <c r="M71" i="1"/>
  <c r="K71" i="1"/>
  <c r="L71" i="1" s="1"/>
  <c r="I72" i="1" l="1"/>
  <c r="K72" i="1" l="1"/>
  <c r="M72" i="1"/>
  <c r="J72" i="1"/>
  <c r="N72" i="1"/>
  <c r="I73" i="1" l="1"/>
  <c r="K73" i="1" s="1"/>
  <c r="L72" i="1"/>
  <c r="N73" i="1" l="1"/>
  <c r="M73" i="1"/>
  <c r="J73" i="1"/>
  <c r="L73" i="1" s="1"/>
  <c r="I74" i="1" l="1"/>
  <c r="M74" i="1" s="1"/>
  <c r="N74" i="1" l="1"/>
  <c r="I75" i="1" s="1"/>
  <c r="K75" i="1" s="1"/>
  <c r="J74" i="1"/>
  <c r="K74" i="1"/>
  <c r="L74" i="1"/>
  <c r="N75" i="1" l="1"/>
  <c r="I76" i="1" s="1"/>
  <c r="K76" i="1" s="1"/>
  <c r="J75" i="1"/>
  <c r="L75" i="1" s="1"/>
  <c r="M75" i="1"/>
  <c r="N76" i="1" l="1"/>
  <c r="M76" i="1"/>
  <c r="J76" i="1"/>
  <c r="L76" i="1" s="1"/>
  <c r="I77" i="1"/>
  <c r="K77" i="1" s="1"/>
  <c r="J77" i="1" l="1"/>
  <c r="L77" i="1" s="1"/>
  <c r="N77" i="1"/>
  <c r="M77" i="1"/>
  <c r="I78" i="1" l="1"/>
  <c r="M78" i="1" s="1"/>
  <c r="K78" i="1" l="1"/>
  <c r="N78" i="1"/>
  <c r="I79" i="1" s="1"/>
  <c r="J78" i="1"/>
  <c r="L78" i="1" s="1"/>
  <c r="J79" i="1" l="1"/>
  <c r="M79" i="1"/>
  <c r="N79" i="1"/>
  <c r="K79" i="1"/>
  <c r="L79" i="1" l="1"/>
  <c r="I80" i="1"/>
  <c r="N80" i="1" l="1"/>
  <c r="K80" i="1"/>
  <c r="M80" i="1"/>
  <c r="J80" i="1"/>
  <c r="L80" i="1" l="1"/>
  <c r="I81" i="1"/>
  <c r="N81" i="1" s="1"/>
  <c r="K81" i="1" l="1"/>
  <c r="J81" i="1"/>
  <c r="M81" i="1"/>
  <c r="I82" i="1" s="1"/>
  <c r="L81" i="1" l="1"/>
  <c r="N82" i="1"/>
  <c r="K82" i="1"/>
  <c r="M82" i="1"/>
  <c r="J82" i="1"/>
  <c r="I83" i="1" l="1"/>
  <c r="K83" i="1" s="1"/>
  <c r="L82" i="1"/>
  <c r="N83" i="1" l="1"/>
  <c r="J83" i="1"/>
  <c r="L83" i="1" s="1"/>
  <c r="M83" i="1"/>
  <c r="I84" i="1" l="1"/>
  <c r="M84" i="1" s="1"/>
  <c r="K84" i="1" l="1"/>
  <c r="N84" i="1"/>
  <c r="I85" i="1" s="1"/>
  <c r="J85" i="1" s="1"/>
  <c r="J84" i="1"/>
  <c r="L84" i="1"/>
  <c r="K85" i="1" l="1"/>
  <c r="N85" i="1"/>
  <c r="M85" i="1"/>
  <c r="L85" i="1"/>
  <c r="I86" i="1"/>
  <c r="K86" i="1" l="1"/>
  <c r="M86" i="1"/>
  <c r="J86" i="1"/>
  <c r="N86" i="1"/>
  <c r="I87" i="1" s="1"/>
  <c r="L86" i="1" l="1"/>
  <c r="M87" i="1"/>
  <c r="J87" i="1"/>
  <c r="K87" i="1"/>
  <c r="N87" i="1"/>
  <c r="I88" i="1" l="1"/>
  <c r="K88" i="1" s="1"/>
  <c r="L87" i="1"/>
  <c r="J88" i="1" l="1"/>
  <c r="L88" i="1" s="1"/>
  <c r="M88" i="1"/>
  <c r="N88" i="1"/>
  <c r="I89" i="1" s="1"/>
  <c r="N89" i="1" s="1"/>
  <c r="K89" i="1" l="1"/>
  <c r="J89" i="1"/>
  <c r="L89" i="1" s="1"/>
  <c r="M89" i="1"/>
  <c r="I90" i="1" s="1"/>
  <c r="N90" i="1" l="1"/>
  <c r="K90" i="1"/>
  <c r="M90" i="1"/>
  <c r="J90" i="1"/>
  <c r="L90" i="1" l="1"/>
  <c r="I91" i="1"/>
  <c r="K91" i="1" s="1"/>
  <c r="M91" i="1" l="1"/>
  <c r="J91" i="1"/>
  <c r="L91" i="1" s="1"/>
  <c r="N91" i="1"/>
  <c r="I92" i="1" l="1"/>
  <c r="M92" i="1" s="1"/>
  <c r="J92" i="1" l="1"/>
  <c r="K92" i="1"/>
  <c r="N92" i="1"/>
  <c r="I93" i="1" s="1"/>
  <c r="K93" i="1" s="1"/>
  <c r="L92" i="1" l="1"/>
  <c r="M93" i="1"/>
  <c r="J93" i="1"/>
  <c r="L93" i="1" s="1"/>
  <c r="N93" i="1"/>
  <c r="I94" i="1" s="1"/>
  <c r="M94" i="1" s="1"/>
  <c r="J94" i="1" l="1"/>
  <c r="K94" i="1"/>
  <c r="N94" i="1"/>
  <c r="I95" i="1" s="1"/>
  <c r="L94" i="1" l="1"/>
  <c r="M95" i="1"/>
  <c r="N95" i="1"/>
  <c r="J95" i="1"/>
  <c r="K95" i="1"/>
  <c r="I96" i="1" l="1"/>
  <c r="N96" i="1" s="1"/>
  <c r="L95" i="1"/>
  <c r="J96" i="1" l="1"/>
  <c r="K96" i="1"/>
  <c r="M96" i="1"/>
  <c r="I97" i="1" s="1"/>
  <c r="N97" i="1" s="1"/>
  <c r="L96" i="1" l="1"/>
  <c r="M97" i="1"/>
  <c r="K97" i="1"/>
  <c r="J97" i="1"/>
  <c r="I98" i="1"/>
  <c r="L97" i="1" l="1"/>
  <c r="N98" i="1"/>
  <c r="J98" i="1"/>
  <c r="M98" i="1"/>
  <c r="K98" i="1"/>
  <c r="L98" i="1" l="1"/>
  <c r="I99" i="1"/>
  <c r="K99" i="1" l="1"/>
  <c r="N99" i="1"/>
  <c r="J99" i="1"/>
  <c r="M99" i="1"/>
  <c r="L99" i="1" l="1"/>
  <c r="I100" i="1"/>
  <c r="K100" i="1" s="1"/>
  <c r="J100" i="1" l="1"/>
  <c r="L100" i="1" s="1"/>
  <c r="N100" i="1"/>
  <c r="I101" i="1" s="1"/>
  <c r="J101" i="1" s="1"/>
  <c r="M100" i="1"/>
  <c r="N101" i="1" l="1"/>
  <c r="M101" i="1"/>
  <c r="K101" i="1"/>
  <c r="L101" i="1" s="1"/>
  <c r="I102" i="1" l="1"/>
  <c r="J102" i="1" s="1"/>
  <c r="K102" i="1" l="1"/>
  <c r="M102" i="1"/>
  <c r="N102" i="1"/>
  <c r="I103" i="1" s="1"/>
  <c r="J103" i="1" s="1"/>
  <c r="L102" i="1"/>
  <c r="K103" i="1" l="1"/>
  <c r="L103" i="1" s="1"/>
  <c r="M103" i="1"/>
  <c r="N103" i="1"/>
  <c r="I104" i="1" s="1"/>
  <c r="N104" i="1" s="1"/>
  <c r="J104" i="1" l="1"/>
  <c r="K104" i="1"/>
  <c r="M104" i="1"/>
  <c r="I105" i="1" s="1"/>
  <c r="N105" i="1" s="1"/>
  <c r="L104" i="1" l="1"/>
  <c r="M105" i="1"/>
  <c r="I106" i="1" s="1"/>
  <c r="N106" i="1" s="1"/>
  <c r="K105" i="1"/>
  <c r="J105" i="1"/>
  <c r="L105" i="1" l="1"/>
  <c r="J106" i="1"/>
  <c r="K106" i="1"/>
  <c r="M106" i="1"/>
  <c r="I107" i="1" s="1"/>
  <c r="L106" i="1" l="1"/>
  <c r="K107" i="1"/>
  <c r="M107" i="1"/>
  <c r="J107" i="1"/>
  <c r="L107" i="1" s="1"/>
  <c r="N107" i="1"/>
  <c r="I108" i="1" s="1"/>
  <c r="K108" i="1" s="1"/>
  <c r="J108" i="1" l="1"/>
  <c r="L108" i="1" s="1"/>
  <c r="M108" i="1"/>
  <c r="N108" i="1"/>
  <c r="I109" i="1" l="1"/>
  <c r="J109" i="1" s="1"/>
  <c r="K109" i="1" l="1"/>
  <c r="L109" i="1" s="1"/>
  <c r="M109" i="1"/>
  <c r="N109" i="1"/>
  <c r="I110" i="1" l="1"/>
  <c r="N110" i="1" s="1"/>
  <c r="K110" i="1" l="1"/>
  <c r="M110" i="1"/>
  <c r="I111" i="1" s="1"/>
  <c r="J110" i="1"/>
  <c r="L110" i="1" s="1"/>
  <c r="M111" i="1" l="1"/>
  <c r="N111" i="1"/>
  <c r="I112" i="1" s="1"/>
  <c r="K111" i="1"/>
  <c r="J111" i="1"/>
  <c r="L111" i="1" l="1"/>
  <c r="J112" i="1"/>
  <c r="N112" i="1"/>
  <c r="M112" i="1"/>
  <c r="K112" i="1"/>
  <c r="L112" i="1" l="1"/>
  <c r="I113" i="1"/>
  <c r="N113" i="1" l="1"/>
  <c r="K113" i="1"/>
  <c r="M113" i="1"/>
  <c r="J113" i="1"/>
  <c r="L113" i="1" l="1"/>
  <c r="I114" i="1"/>
  <c r="M114" i="1" s="1"/>
  <c r="J114" i="1" l="1"/>
  <c r="K114" i="1"/>
  <c r="N114" i="1"/>
  <c r="I115" i="1" s="1"/>
  <c r="L114" i="1" l="1"/>
  <c r="K115" i="1"/>
  <c r="M115" i="1"/>
  <c r="J115" i="1"/>
  <c r="N115" i="1"/>
  <c r="L115" i="1" l="1"/>
  <c r="I116" i="1"/>
  <c r="N116" i="1" l="1"/>
  <c r="J116" i="1"/>
  <c r="M116" i="1"/>
  <c r="K116" i="1"/>
  <c r="I117" i="1" l="1"/>
  <c r="K117" i="1" s="1"/>
  <c r="L116" i="1"/>
  <c r="J117" i="1" l="1"/>
  <c r="L117" i="1" s="1"/>
  <c r="N117" i="1"/>
  <c r="M117" i="1"/>
  <c r="I118" i="1" l="1"/>
  <c r="N118" i="1" s="1"/>
  <c r="J118" i="1" l="1"/>
  <c r="M118" i="1"/>
  <c r="I119" i="1" s="1"/>
  <c r="K119" i="1" s="1"/>
  <c r="K118" i="1"/>
  <c r="L118" i="1" s="1"/>
  <c r="M119" i="1" l="1"/>
  <c r="N119" i="1"/>
  <c r="J119" i="1"/>
  <c r="L119" i="1" s="1"/>
  <c r="I120" i="1" l="1"/>
  <c r="N120" i="1" s="1"/>
  <c r="M120" i="1" l="1"/>
  <c r="I121" i="1" s="1"/>
  <c r="N121" i="1" s="1"/>
  <c r="I122" i="1" s="1"/>
  <c r="M122" i="1" s="1"/>
  <c r="K120" i="1"/>
  <c r="J120" i="1"/>
  <c r="L120" i="1" s="1"/>
  <c r="J121" i="1" l="1"/>
  <c r="M121" i="1"/>
  <c r="K121" i="1"/>
  <c r="L121" i="1" s="1"/>
  <c r="J122" i="1"/>
  <c r="N122" i="1"/>
  <c r="I123" i="1" s="1"/>
  <c r="N123" i="1" s="1"/>
  <c r="K122" i="1"/>
  <c r="L122" i="1" l="1"/>
  <c r="K123" i="1"/>
  <c r="M123" i="1"/>
  <c r="I124" i="1" s="1"/>
  <c r="J123" i="1"/>
  <c r="L123" i="1" l="1"/>
  <c r="J124" i="1"/>
  <c r="M124" i="1"/>
  <c r="K124" i="1"/>
  <c r="N124" i="1"/>
  <c r="I125" i="1" l="1"/>
  <c r="M125" i="1" s="1"/>
  <c r="L124" i="1"/>
  <c r="N125" i="1"/>
  <c r="K125" i="1"/>
  <c r="J125" i="1" l="1"/>
  <c r="I126" i="1"/>
  <c r="L125" i="1"/>
  <c r="J126" i="1"/>
  <c r="M126" i="1"/>
  <c r="N126" i="1"/>
  <c r="K126" i="1"/>
  <c r="I127" i="1" l="1"/>
  <c r="J127" i="1" s="1"/>
  <c r="L126" i="1"/>
  <c r="N127" i="1" l="1"/>
  <c r="K127" i="1"/>
  <c r="L127" i="1" s="1"/>
  <c r="M127" i="1"/>
  <c r="I128" i="1" l="1"/>
  <c r="N128" i="1" l="1"/>
  <c r="K128" i="1"/>
  <c r="M128" i="1"/>
  <c r="J128" i="1"/>
  <c r="L128" i="1" l="1"/>
  <c r="I129" i="1"/>
  <c r="K129" i="1" s="1"/>
  <c r="M129" i="1" l="1"/>
  <c r="N129" i="1"/>
  <c r="I130" i="1" s="1"/>
  <c r="K130" i="1" s="1"/>
  <c r="J129" i="1"/>
  <c r="L129" i="1" s="1"/>
  <c r="J130" i="1" l="1"/>
  <c r="L130" i="1" s="1"/>
  <c r="N130" i="1"/>
  <c r="M130" i="1"/>
  <c r="I131" i="1" l="1"/>
  <c r="K131" i="1" s="1"/>
  <c r="N131" i="1" l="1"/>
  <c r="J131" i="1"/>
  <c r="L131" i="1" s="1"/>
  <c r="M131" i="1"/>
  <c r="I132" i="1" s="1"/>
  <c r="M132" i="1" s="1"/>
  <c r="K132" i="1" l="1"/>
  <c r="N132" i="1"/>
  <c r="I133" i="1" s="1"/>
  <c r="N133" i="1" s="1"/>
  <c r="J132" i="1"/>
  <c r="L132" i="1" s="1"/>
  <c r="K133" i="1" l="1"/>
  <c r="J133" i="1"/>
  <c r="M133" i="1"/>
  <c r="I134" i="1" s="1"/>
  <c r="L133" i="1"/>
  <c r="N134" i="1" l="1"/>
  <c r="I135" i="1" s="1"/>
  <c r="K134" i="1"/>
  <c r="J134" i="1"/>
  <c r="M134" i="1"/>
  <c r="L134" i="1" l="1"/>
  <c r="J135" i="1"/>
  <c r="M135" i="1"/>
  <c r="K135" i="1"/>
  <c r="N135" i="1"/>
  <c r="I136" i="1" l="1"/>
  <c r="L135" i="1"/>
  <c r="J136" i="1" l="1"/>
  <c r="M136" i="1"/>
  <c r="N136" i="1"/>
  <c r="I137" i="1" s="1"/>
  <c r="K136" i="1"/>
  <c r="K137" i="1" l="1"/>
  <c r="J137" i="1"/>
  <c r="N137" i="1"/>
  <c r="M137" i="1"/>
  <c r="L136" i="1"/>
  <c r="I138" i="1" l="1"/>
  <c r="M138" i="1" s="1"/>
  <c r="L137" i="1"/>
  <c r="N138" i="1" l="1"/>
  <c r="I139" i="1" s="1"/>
  <c r="M139" i="1" s="1"/>
  <c r="J138" i="1"/>
  <c r="K138" i="1"/>
  <c r="J139" i="1" l="1"/>
  <c r="K139" i="1"/>
  <c r="N139" i="1"/>
  <c r="I140" i="1" s="1"/>
  <c r="J140" i="1" s="1"/>
  <c r="L138" i="1"/>
  <c r="L139" i="1" l="1"/>
  <c r="K140" i="1"/>
  <c r="L140" i="1" s="1"/>
  <c r="N140" i="1"/>
  <c r="M140" i="1"/>
  <c r="I141" i="1" l="1"/>
  <c r="N141" i="1" s="1"/>
  <c r="K141" i="1" l="1"/>
  <c r="M141" i="1"/>
  <c r="J141" i="1"/>
  <c r="L141" i="1" s="1"/>
  <c r="I142" i="1"/>
  <c r="M142" i="1" s="1"/>
  <c r="J142" i="1" l="1"/>
  <c r="K142" i="1"/>
  <c r="N142" i="1"/>
  <c r="I143" i="1" s="1"/>
  <c r="N143" i="1" s="1"/>
  <c r="L142" i="1" l="1"/>
  <c r="M143" i="1"/>
  <c r="I144" i="1" s="1"/>
  <c r="J144" i="1" s="1"/>
  <c r="K143" i="1"/>
  <c r="J143" i="1"/>
  <c r="K144" i="1" l="1"/>
  <c r="N144" i="1"/>
  <c r="L143" i="1"/>
  <c r="M144" i="1"/>
  <c r="L144" i="1"/>
  <c r="I145" i="1" l="1"/>
  <c r="M145" i="1" s="1"/>
  <c r="N145" i="1" l="1"/>
  <c r="I146" i="1" s="1"/>
  <c r="J146" i="1" s="1"/>
  <c r="J145" i="1"/>
  <c r="K145" i="1"/>
  <c r="N146" i="1" l="1"/>
  <c r="K146" i="1"/>
  <c r="L146" i="1" s="1"/>
  <c r="M146" i="1"/>
  <c r="L145" i="1"/>
  <c r="I147" i="1" l="1"/>
  <c r="K147" i="1" s="1"/>
  <c r="J147" i="1" l="1"/>
  <c r="L147" i="1" s="1"/>
  <c r="N147" i="1"/>
  <c r="M147" i="1"/>
  <c r="I148" i="1" l="1"/>
  <c r="J148" i="1" s="1"/>
  <c r="N148" i="1" l="1"/>
  <c r="K148" i="1"/>
  <c r="L148" i="1" s="1"/>
  <c r="M148" i="1"/>
  <c r="I149" i="1" l="1"/>
  <c r="N149" i="1" l="1"/>
  <c r="K149" i="1"/>
  <c r="M149" i="1"/>
  <c r="J149" i="1"/>
  <c r="L149" i="1" s="1"/>
  <c r="I150" i="1" l="1"/>
  <c r="J150" i="1" s="1"/>
  <c r="M150" i="1" l="1"/>
  <c r="K150" i="1"/>
  <c r="L150" i="1" s="1"/>
  <c r="N150" i="1"/>
  <c r="I151" i="1" l="1"/>
  <c r="K151" i="1" l="1"/>
  <c r="M151" i="1"/>
  <c r="J151" i="1"/>
  <c r="L151" i="1" s="1"/>
  <c r="N151" i="1"/>
  <c r="I152" i="1" s="1"/>
  <c r="J152" i="1" s="1"/>
  <c r="M152" i="1" l="1"/>
  <c r="N152" i="1"/>
  <c r="I153" i="1" s="1"/>
  <c r="J153" i="1" s="1"/>
  <c r="K152" i="1"/>
  <c r="L152" i="1" s="1"/>
  <c r="K153" i="1" l="1"/>
  <c r="L153" i="1" s="1"/>
  <c r="N153" i="1"/>
  <c r="M153" i="1"/>
  <c r="I154" i="1" s="1"/>
  <c r="N154" i="1" l="1"/>
  <c r="K154" i="1"/>
  <c r="J154" i="1"/>
  <c r="M154" i="1"/>
  <c r="I155" i="1" l="1"/>
  <c r="N155" i="1" s="1"/>
  <c r="L154" i="1"/>
  <c r="M155" i="1" l="1"/>
  <c r="K155" i="1"/>
  <c r="J155" i="1"/>
  <c r="I156" i="1"/>
  <c r="K156" i="1" s="1"/>
  <c r="L155" i="1" l="1"/>
  <c r="N156" i="1"/>
  <c r="J156" i="1"/>
  <c r="L156" i="1" s="1"/>
  <c r="M156" i="1"/>
  <c r="I157" i="1" l="1"/>
  <c r="N157" i="1" l="1"/>
  <c r="M157" i="1"/>
  <c r="J157" i="1"/>
  <c r="K157" i="1"/>
  <c r="L157" i="1" l="1"/>
  <c r="I158" i="1"/>
  <c r="M158" i="1" l="1"/>
  <c r="J158" i="1"/>
  <c r="N158" i="1"/>
  <c r="I159" i="1" s="1"/>
  <c r="K158" i="1"/>
  <c r="L158" i="1" s="1"/>
  <c r="J159" i="1" l="1"/>
  <c r="M159" i="1"/>
  <c r="K159" i="1"/>
  <c r="L159" i="1" s="1"/>
  <c r="N159" i="1"/>
  <c r="I160" i="1" s="1"/>
  <c r="M160" i="1" l="1"/>
  <c r="J160" i="1"/>
  <c r="N160" i="1"/>
  <c r="I161" i="1" s="1"/>
  <c r="K160" i="1"/>
  <c r="L160" i="1" s="1"/>
  <c r="N161" i="1" l="1"/>
  <c r="J161" i="1"/>
  <c r="K161" i="1"/>
  <c r="L161" i="1" s="1"/>
  <c r="M161" i="1"/>
  <c r="I162" i="1" l="1"/>
  <c r="N162" i="1" s="1"/>
  <c r="M162" i="1" l="1"/>
  <c r="J162" i="1"/>
  <c r="I163" i="1"/>
  <c r="N163" i="1" s="1"/>
  <c r="I164" i="1" s="1"/>
  <c r="K162" i="1"/>
  <c r="L162" i="1"/>
  <c r="M163" i="1"/>
  <c r="J163" i="1"/>
  <c r="K163" i="1"/>
  <c r="K164" i="1" l="1"/>
  <c r="N164" i="1"/>
  <c r="I165" i="1" s="1"/>
  <c r="K165" i="1" s="1"/>
  <c r="M164" i="1"/>
  <c r="J164" i="1"/>
  <c r="L163" i="1"/>
  <c r="J165" i="1" l="1"/>
  <c r="L164" i="1"/>
  <c r="L165" i="1"/>
  <c r="N165" i="1"/>
  <c r="M165" i="1"/>
  <c r="I166" i="1" l="1"/>
  <c r="M166" i="1" s="1"/>
  <c r="J166" i="1" l="1"/>
  <c r="N166" i="1"/>
  <c r="I167" i="1" s="1"/>
  <c r="M167" i="1" s="1"/>
  <c r="K166" i="1"/>
  <c r="J167" i="1" l="1"/>
  <c r="K167" i="1"/>
  <c r="N167" i="1"/>
  <c r="I168" i="1" s="1"/>
  <c r="M168" i="1" s="1"/>
  <c r="L166" i="1"/>
  <c r="N168" i="1" l="1"/>
  <c r="I169" i="1" s="1"/>
  <c r="M169" i="1" s="1"/>
  <c r="K168" i="1"/>
  <c r="J168" i="1"/>
  <c r="L168" i="1" s="1"/>
  <c r="L167" i="1"/>
  <c r="J169" i="1" l="1"/>
  <c r="N169" i="1"/>
  <c r="K169" i="1"/>
  <c r="L169" i="1" s="1"/>
  <c r="I170" i="1"/>
  <c r="K170" i="1" s="1"/>
  <c r="J170" i="1" l="1"/>
  <c r="L170" i="1" s="1"/>
  <c r="N170" i="1"/>
  <c r="M170" i="1"/>
  <c r="I171" i="1" l="1"/>
  <c r="N171" i="1" s="1"/>
  <c r="J171" i="1" l="1"/>
  <c r="K171" i="1"/>
  <c r="M171" i="1"/>
  <c r="I172" i="1" s="1"/>
  <c r="M172" i="1" l="1"/>
  <c r="N172" i="1"/>
  <c r="I173" i="1" s="1"/>
  <c r="K172" i="1"/>
  <c r="J172" i="1"/>
  <c r="L171" i="1"/>
  <c r="L172" i="1"/>
  <c r="K173" i="1" l="1"/>
  <c r="N173" i="1"/>
  <c r="J173" i="1"/>
  <c r="M173" i="1"/>
  <c r="L173" i="1" l="1"/>
  <c r="I174" i="1"/>
  <c r="J174" i="1" s="1"/>
  <c r="K174" i="1" l="1"/>
  <c r="M174" i="1"/>
  <c r="N174" i="1"/>
  <c r="I175" i="1" s="1"/>
  <c r="L174" i="1"/>
  <c r="J175" i="1" l="1"/>
  <c r="M175" i="1"/>
  <c r="K175" i="1"/>
  <c r="L175" i="1" s="1"/>
  <c r="N175" i="1"/>
  <c r="I176" i="1" l="1"/>
  <c r="N176" i="1" s="1"/>
  <c r="M176" i="1" l="1"/>
  <c r="J176" i="1"/>
  <c r="L176" i="1" s="1"/>
  <c r="K176" i="1"/>
  <c r="I177" i="1"/>
  <c r="K177" i="1" l="1"/>
  <c r="M177" i="1"/>
  <c r="N177" i="1"/>
  <c r="I178" i="1" s="1"/>
  <c r="J177" i="1"/>
  <c r="L177" i="1" l="1"/>
  <c r="K178" i="1"/>
  <c r="M178" i="1"/>
  <c r="N178" i="1"/>
  <c r="J178" i="1"/>
  <c r="L178" i="1" s="1"/>
  <c r="I179" i="1" l="1"/>
  <c r="N179" i="1" s="1"/>
  <c r="K179" i="1" l="1"/>
  <c r="J179" i="1"/>
  <c r="M179" i="1"/>
  <c r="I180" i="1" s="1"/>
  <c r="L179" i="1" l="1"/>
  <c r="N180" i="1"/>
  <c r="J180" i="1"/>
  <c r="K180" i="1"/>
  <c r="M180" i="1"/>
  <c r="I181" i="1" s="1"/>
  <c r="L180" i="1" l="1"/>
  <c r="K181" i="1"/>
  <c r="N181" i="1"/>
  <c r="M181" i="1"/>
  <c r="J181" i="1"/>
  <c r="L181" i="1" s="1"/>
  <c r="I182" i="1" l="1"/>
  <c r="J182" i="1" l="1"/>
  <c r="N182" i="1"/>
  <c r="K182" i="1"/>
  <c r="M182" i="1"/>
  <c r="L182" i="1" l="1"/>
  <c r="I183" i="1"/>
  <c r="K183" i="1" l="1"/>
  <c r="N183" i="1"/>
  <c r="J183" i="1"/>
  <c r="L183" i="1" s="1"/>
  <c r="M183" i="1"/>
  <c r="I184" i="1" l="1"/>
  <c r="M184" i="1" s="1"/>
  <c r="N184" i="1" l="1"/>
  <c r="I185" i="1" s="1"/>
  <c r="M185" i="1" s="1"/>
  <c r="K184" i="1"/>
  <c r="J184" i="1"/>
  <c r="L184" i="1" l="1"/>
  <c r="K185" i="1"/>
  <c r="J185" i="1"/>
  <c r="L185" i="1" s="1"/>
  <c r="N185" i="1"/>
  <c r="I186" i="1" s="1"/>
  <c r="K186" i="1" s="1"/>
  <c r="N186" i="1" l="1"/>
  <c r="J186" i="1"/>
  <c r="L186" i="1" s="1"/>
  <c r="M186" i="1"/>
  <c r="I187" i="1" l="1"/>
  <c r="J187" i="1" l="1"/>
  <c r="K187" i="1"/>
  <c r="L187" i="1" s="1"/>
  <c r="M187" i="1"/>
  <c r="N187" i="1"/>
  <c r="I188" i="1" l="1"/>
  <c r="K188" i="1" s="1"/>
  <c r="M188" i="1" l="1"/>
  <c r="N188" i="1"/>
  <c r="I189" i="1" s="1"/>
  <c r="N189" i="1" s="1"/>
  <c r="J188" i="1"/>
  <c r="L188" i="1" s="1"/>
  <c r="K189" i="1" l="1"/>
  <c r="J189" i="1"/>
  <c r="L189" i="1" s="1"/>
  <c r="M189" i="1"/>
  <c r="I190" i="1" s="1"/>
  <c r="M190" i="1" l="1"/>
  <c r="K190" i="1"/>
  <c r="J190" i="1"/>
  <c r="N190" i="1"/>
  <c r="I191" i="1" s="1"/>
  <c r="L190" i="1" l="1"/>
  <c r="N191" i="1"/>
  <c r="J191" i="1"/>
  <c r="K191" i="1"/>
  <c r="M191" i="1"/>
  <c r="L191" i="1" l="1"/>
  <c r="I192" i="1"/>
  <c r="N192" i="1" l="1"/>
  <c r="M192" i="1"/>
  <c r="J192" i="1"/>
  <c r="K192" i="1"/>
  <c r="L192" i="1" l="1"/>
  <c r="I193" i="1"/>
  <c r="M193" i="1" l="1"/>
  <c r="K193" i="1"/>
  <c r="J193" i="1"/>
  <c r="L193" i="1" s="1"/>
  <c r="N193" i="1"/>
  <c r="I194" i="1" s="1"/>
  <c r="J194" i="1" l="1"/>
  <c r="M194" i="1"/>
  <c r="N194" i="1"/>
  <c r="I195" i="1" s="1"/>
  <c r="K194" i="1"/>
  <c r="M195" i="1" l="1"/>
  <c r="N195" i="1"/>
  <c r="K195" i="1"/>
  <c r="J195" i="1"/>
  <c r="L194" i="1"/>
  <c r="L195" i="1" l="1"/>
  <c r="I196" i="1"/>
  <c r="N196" i="1" s="1"/>
  <c r="K196" i="1" l="1"/>
  <c r="J196" i="1"/>
  <c r="M196" i="1"/>
  <c r="I197" i="1"/>
  <c r="N197" i="1" s="1"/>
  <c r="L196" i="1" l="1"/>
  <c r="K197" i="1"/>
  <c r="J197" i="1"/>
  <c r="M197" i="1"/>
  <c r="I198" i="1"/>
  <c r="K198" i="1" s="1"/>
  <c r="L197" i="1" l="1"/>
  <c r="N198" i="1"/>
  <c r="J198" i="1"/>
  <c r="M198" i="1"/>
  <c r="L198" i="1"/>
  <c r="I199" i="1" l="1"/>
  <c r="N199" i="1" s="1"/>
  <c r="K199" i="1" l="1"/>
  <c r="M199" i="1"/>
  <c r="I200" i="1" s="1"/>
  <c r="J199" i="1"/>
  <c r="L199" i="1" s="1"/>
  <c r="J200" i="1" l="1"/>
  <c r="M200" i="1"/>
  <c r="N200" i="1"/>
  <c r="I201" i="1" s="1"/>
  <c r="M201" i="1" s="1"/>
  <c r="K200" i="1"/>
  <c r="L200" i="1"/>
  <c r="K201" i="1" l="1"/>
  <c r="J201" i="1"/>
  <c r="N201" i="1"/>
  <c r="I202" i="1" s="1"/>
  <c r="K202" i="1" s="1"/>
  <c r="L201" i="1" l="1"/>
  <c r="M202" i="1"/>
  <c r="N202" i="1"/>
  <c r="I203" i="1" s="1"/>
  <c r="K203" i="1" s="1"/>
  <c r="J202" i="1"/>
  <c r="L202" i="1" s="1"/>
  <c r="J203" i="1" l="1"/>
  <c r="L203" i="1" s="1"/>
  <c r="M203" i="1"/>
  <c r="N203" i="1"/>
  <c r="I204" i="1" s="1"/>
  <c r="N204" i="1" s="1"/>
  <c r="J204" i="1" l="1"/>
  <c r="K204" i="1"/>
  <c r="M204" i="1"/>
  <c r="I205" i="1" s="1"/>
  <c r="M205" i="1" s="1"/>
  <c r="L204" i="1" l="1"/>
  <c r="J205" i="1"/>
  <c r="N205" i="1"/>
  <c r="I206" i="1" s="1"/>
  <c r="K205" i="1"/>
  <c r="L205" i="1" l="1"/>
  <c r="J206" i="1"/>
  <c r="N206" i="1"/>
  <c r="K206" i="1"/>
  <c r="M206" i="1"/>
  <c r="L206" i="1" l="1"/>
  <c r="I207" i="1"/>
  <c r="N207" i="1" s="1"/>
  <c r="M207" i="1" l="1"/>
  <c r="I208" i="1" s="1"/>
  <c r="M208" i="1" s="1"/>
  <c r="K207" i="1"/>
  <c r="J207" i="1"/>
  <c r="L207" i="1" l="1"/>
  <c r="J208" i="1"/>
  <c r="N208" i="1"/>
  <c r="I209" i="1" s="1"/>
  <c r="N209" i="1" s="1"/>
  <c r="K208" i="1"/>
  <c r="L208" i="1" l="1"/>
  <c r="M209" i="1"/>
  <c r="I210" i="1" s="1"/>
  <c r="N210" i="1" s="1"/>
  <c r="J209" i="1"/>
  <c r="K209" i="1"/>
  <c r="K210" i="1" l="1"/>
  <c r="L209" i="1"/>
  <c r="J210" i="1"/>
  <c r="M210" i="1"/>
  <c r="I211" i="1" s="1"/>
  <c r="J211" i="1" l="1"/>
  <c r="K211" i="1"/>
  <c r="M211" i="1"/>
  <c r="N211" i="1"/>
  <c r="I212" i="1" s="1"/>
  <c r="L210" i="1"/>
  <c r="L211" i="1" l="1"/>
  <c r="J212" i="1"/>
  <c r="N212" i="1"/>
  <c r="I213" i="1" s="1"/>
  <c r="M212" i="1"/>
  <c r="K212" i="1"/>
  <c r="N213" i="1" l="1"/>
  <c r="J213" i="1"/>
  <c r="M213" i="1"/>
  <c r="K213" i="1"/>
  <c r="L212" i="1"/>
  <c r="I214" i="1" l="1"/>
  <c r="N214" i="1" s="1"/>
  <c r="L213" i="1"/>
  <c r="M214" i="1" l="1"/>
  <c r="I215" i="1" s="1"/>
  <c r="K214" i="1"/>
  <c r="J214" i="1"/>
  <c r="L214" i="1" s="1"/>
  <c r="J215" i="1" l="1"/>
  <c r="K215" i="1"/>
  <c r="M215" i="1"/>
  <c r="N215" i="1"/>
  <c r="I216" i="1" s="1"/>
  <c r="L215" i="1" l="1"/>
  <c r="K216" i="1"/>
  <c r="N216" i="1"/>
  <c r="M216" i="1"/>
  <c r="J216" i="1"/>
  <c r="L216" i="1" s="1"/>
  <c r="I217" i="1" l="1"/>
  <c r="N217" i="1" s="1"/>
  <c r="J217" i="1" l="1"/>
  <c r="M217" i="1"/>
  <c r="I218" i="1" s="1"/>
  <c r="K217" i="1"/>
  <c r="L217" i="1" s="1"/>
  <c r="N218" i="1" l="1"/>
  <c r="I219" i="1" s="1"/>
  <c r="K219" i="1" s="1"/>
  <c r="J218" i="1"/>
  <c r="M218" i="1"/>
  <c r="K218" i="1"/>
  <c r="J219" i="1" l="1"/>
  <c r="L219" i="1" s="1"/>
  <c r="M219" i="1"/>
  <c r="N219" i="1"/>
  <c r="L218" i="1"/>
  <c r="I220" i="1"/>
  <c r="N220" i="1" l="1"/>
  <c r="K220" i="1"/>
  <c r="J220" i="1"/>
  <c r="M220" i="1"/>
  <c r="L220" i="1" l="1"/>
  <c r="I221" i="1"/>
  <c r="K221" i="1" s="1"/>
  <c r="N221" i="1" l="1"/>
  <c r="J221" i="1"/>
  <c r="L221" i="1" s="1"/>
  <c r="M221" i="1"/>
  <c r="I222" i="1" l="1"/>
  <c r="N222" i="1" s="1"/>
  <c r="K222" i="1" l="1"/>
  <c r="J222" i="1"/>
  <c r="L222" i="1" s="1"/>
  <c r="M222" i="1"/>
  <c r="I223" i="1" s="1"/>
  <c r="M223" i="1" s="1"/>
  <c r="K223" i="1" l="1"/>
  <c r="J223" i="1"/>
  <c r="L223" i="1" s="1"/>
  <c r="N223" i="1"/>
  <c r="I224" i="1" s="1"/>
  <c r="J224" i="1" s="1"/>
  <c r="N224" i="1" l="1"/>
  <c r="M224" i="1"/>
  <c r="I225" i="1" s="1"/>
  <c r="K225" i="1" s="1"/>
  <c r="K224" i="1"/>
  <c r="L224" i="1" s="1"/>
  <c r="N225" i="1" l="1"/>
  <c r="J225" i="1"/>
  <c r="L225" i="1" s="1"/>
  <c r="M225" i="1"/>
  <c r="I226" i="1" l="1"/>
  <c r="K226" i="1" s="1"/>
  <c r="J226" i="1"/>
  <c r="L226" i="1" s="1"/>
  <c r="N226" i="1"/>
  <c r="I227" i="1" s="1"/>
  <c r="K227" i="1" s="1"/>
  <c r="M226" i="1"/>
  <c r="N227" i="1" l="1"/>
  <c r="M227" i="1"/>
  <c r="J227" i="1"/>
  <c r="L227" i="1" s="1"/>
  <c r="I228" i="1" l="1"/>
  <c r="M228" i="1" s="1"/>
  <c r="N228" i="1" l="1"/>
  <c r="I229" i="1" s="1"/>
  <c r="J229" i="1" s="1"/>
  <c r="K228" i="1"/>
  <c r="J228" i="1"/>
  <c r="L228" i="1"/>
  <c r="M229" i="1" l="1"/>
  <c r="K229" i="1"/>
  <c r="L229" i="1" s="1"/>
  <c r="N229" i="1"/>
  <c r="I230" i="1" s="1"/>
  <c r="N230" i="1" s="1"/>
  <c r="M230" i="1" l="1"/>
  <c r="K230" i="1"/>
  <c r="L230" i="1" s="1"/>
  <c r="J230" i="1"/>
  <c r="I231" i="1"/>
  <c r="K231" i="1" s="1"/>
  <c r="J231" i="1" l="1"/>
  <c r="L231" i="1" s="1"/>
  <c r="M231" i="1"/>
  <c r="N231" i="1"/>
  <c r="I232" i="1" l="1"/>
  <c r="J232" i="1" s="1"/>
  <c r="M232" i="1" l="1"/>
  <c r="N232" i="1"/>
  <c r="I233" i="1" s="1"/>
  <c r="N233" i="1" s="1"/>
  <c r="K232" i="1"/>
  <c r="L232" i="1" s="1"/>
  <c r="K233" i="1" l="1"/>
  <c r="M233" i="1"/>
  <c r="I234" i="1" s="1"/>
  <c r="J233" i="1"/>
  <c r="L233" i="1" s="1"/>
  <c r="M234" i="1" l="1"/>
  <c r="N234" i="1"/>
  <c r="I235" i="1" s="1"/>
  <c r="J235" i="1" s="1"/>
  <c r="J234" i="1"/>
  <c r="K234" i="1"/>
  <c r="L234" i="1" l="1"/>
  <c r="M235" i="1"/>
  <c r="N235" i="1"/>
  <c r="I236" i="1" s="1"/>
  <c r="K235" i="1"/>
  <c r="L235" i="1" s="1"/>
  <c r="K236" i="1" l="1"/>
  <c r="N236" i="1"/>
  <c r="M236" i="1"/>
  <c r="J236" i="1"/>
  <c r="L236" i="1" s="1"/>
  <c r="I237" i="1" l="1"/>
  <c r="J237" i="1" s="1"/>
  <c r="M237" i="1" l="1"/>
  <c r="N237" i="1"/>
  <c r="I238" i="1" s="1"/>
  <c r="N238" i="1" s="1"/>
  <c r="K237" i="1"/>
  <c r="L237" i="1" s="1"/>
  <c r="J238" i="1" l="1"/>
  <c r="K238" i="1"/>
  <c r="M238" i="1"/>
  <c r="I239" i="1" s="1"/>
  <c r="M239" i="1" s="1"/>
  <c r="L238" i="1" l="1"/>
  <c r="N239" i="1"/>
  <c r="I240" i="1" s="1"/>
  <c r="J240" i="1" s="1"/>
  <c r="J239" i="1"/>
  <c r="K239" i="1"/>
  <c r="L239" i="1" s="1"/>
  <c r="M240" i="1" l="1"/>
  <c r="K240" i="1"/>
  <c r="L240" i="1" s="1"/>
  <c r="N240" i="1"/>
  <c r="I241" i="1" s="1"/>
  <c r="J241" i="1" l="1"/>
  <c r="K241" i="1"/>
  <c r="M241" i="1"/>
  <c r="N241" i="1"/>
  <c r="I242" i="1" s="1"/>
  <c r="K242" i="1" l="1"/>
  <c r="N242" i="1"/>
  <c r="M242" i="1"/>
  <c r="J242" i="1"/>
  <c r="L241" i="1"/>
  <c r="I243" i="1" l="1"/>
  <c r="K243" i="1" s="1"/>
  <c r="L242" i="1"/>
  <c r="J243" i="1" l="1"/>
  <c r="L243" i="1" s="1"/>
  <c r="M243" i="1"/>
  <c r="N243" i="1"/>
  <c r="I244" i="1" l="1"/>
  <c r="J244" i="1" s="1"/>
  <c r="N244" i="1" l="1"/>
  <c r="M244" i="1"/>
  <c r="K244" i="1"/>
  <c r="L244" i="1" s="1"/>
  <c r="I245" i="1" l="1"/>
  <c r="J245" i="1" s="1"/>
  <c r="N245" i="1" l="1"/>
  <c r="M245" i="1"/>
  <c r="K245" i="1"/>
  <c r="L245" i="1" s="1"/>
  <c r="I246" i="1" l="1"/>
  <c r="J246" i="1" s="1"/>
  <c r="N246" i="1" l="1"/>
  <c r="M246" i="1"/>
  <c r="K246" i="1"/>
  <c r="L246" i="1" s="1"/>
  <c r="I247" i="1" l="1"/>
  <c r="J247" i="1" s="1"/>
  <c r="K247" i="1" l="1"/>
  <c r="M247" i="1"/>
  <c r="N247" i="1"/>
  <c r="I248" i="1" s="1"/>
  <c r="L247" i="1"/>
  <c r="N248" i="1" l="1"/>
  <c r="M248" i="1"/>
  <c r="I249" i="1" s="1"/>
  <c r="J248" i="1"/>
  <c r="K248" i="1"/>
  <c r="K249" i="1" l="1"/>
  <c r="J249" i="1"/>
  <c r="L249" i="1" s="1"/>
  <c r="N249" i="1"/>
  <c r="M249" i="1"/>
  <c r="L248" i="1"/>
  <c r="I250" i="1" l="1"/>
  <c r="N250" i="1" l="1"/>
  <c r="I251" i="1" s="1"/>
  <c r="M250" i="1"/>
  <c r="J250" i="1"/>
  <c r="L250" i="1" s="1"/>
  <c r="K250" i="1"/>
  <c r="J251" i="1" l="1"/>
  <c r="K251" i="1"/>
  <c r="M251" i="1"/>
  <c r="N251" i="1"/>
  <c r="I252" i="1" s="1"/>
  <c r="M252" i="1" l="1"/>
  <c r="K252" i="1"/>
  <c r="J252" i="1"/>
  <c r="L252" i="1" s="1"/>
  <c r="N252" i="1"/>
  <c r="I253" i="1" s="1"/>
  <c r="L251" i="1"/>
  <c r="J253" i="1" l="1"/>
  <c r="N253" i="1"/>
  <c r="K253" i="1"/>
  <c r="M253" i="1"/>
  <c r="I254" i="1" l="1"/>
  <c r="L253" i="1"/>
  <c r="M254" i="1" l="1"/>
  <c r="N254" i="1"/>
  <c r="I255" i="1" s="1"/>
  <c r="K254" i="1"/>
  <c r="J254" i="1"/>
  <c r="L254" i="1" s="1"/>
  <c r="M255" i="1" l="1"/>
  <c r="J255" i="1"/>
  <c r="L255" i="1" s="1"/>
  <c r="K255" i="1"/>
  <c r="N255" i="1"/>
  <c r="I256" i="1" s="1"/>
  <c r="K256" i="1" l="1"/>
  <c r="N256" i="1"/>
  <c r="M256" i="1"/>
  <c r="I257" i="1" s="1"/>
  <c r="J256" i="1"/>
  <c r="L256" i="1" s="1"/>
  <c r="J257" i="1" l="1"/>
  <c r="M257" i="1"/>
  <c r="K257" i="1"/>
  <c r="N257" i="1"/>
  <c r="I258" i="1" s="1"/>
  <c r="J258" i="1" s="1"/>
  <c r="K258" i="1" l="1"/>
  <c r="M258" i="1"/>
  <c r="N258" i="1"/>
  <c r="I259" i="1" s="1"/>
  <c r="N259" i="1" s="1"/>
  <c r="L257" i="1"/>
  <c r="L258" i="1"/>
  <c r="K259" i="1" l="1"/>
  <c r="J259" i="1"/>
  <c r="M259" i="1"/>
  <c r="L259" i="1"/>
  <c r="I260" i="1"/>
  <c r="M260" i="1" l="1"/>
  <c r="N260" i="1"/>
  <c r="K260" i="1"/>
  <c r="J260" i="1"/>
  <c r="I261" i="1" l="1"/>
  <c r="N261" i="1" s="1"/>
  <c r="I262" i="1" s="1"/>
  <c r="L260" i="1"/>
  <c r="J261" i="1" l="1"/>
  <c r="M261" i="1"/>
  <c r="K261" i="1"/>
  <c r="M262" i="1"/>
  <c r="N262" i="1"/>
  <c r="J262" i="1"/>
  <c r="K262" i="1"/>
  <c r="L261" i="1"/>
  <c r="I263" i="1" l="1"/>
  <c r="N263" i="1" s="1"/>
  <c r="L262" i="1"/>
  <c r="K263" i="1" l="1"/>
  <c r="M263" i="1"/>
  <c r="I264" i="1" s="1"/>
  <c r="J263" i="1"/>
  <c r="L263" i="1" s="1"/>
  <c r="N264" i="1" l="1"/>
  <c r="K264" i="1"/>
  <c r="J264" i="1"/>
  <c r="M264" i="1"/>
  <c r="L264" i="1"/>
  <c r="I265" i="1" l="1"/>
  <c r="J265" i="1" s="1"/>
  <c r="M265" i="1"/>
  <c r="N265" i="1"/>
  <c r="I266" i="1" s="1"/>
  <c r="K266" i="1" s="1"/>
  <c r="K265" i="1"/>
  <c r="L265" i="1" s="1"/>
  <c r="J266" i="1" l="1"/>
  <c r="L266" i="1" s="1"/>
  <c r="N266" i="1"/>
  <c r="M266" i="1"/>
  <c r="I267" i="1" l="1"/>
  <c r="K267" i="1" l="1"/>
  <c r="M267" i="1"/>
  <c r="N267" i="1"/>
  <c r="J267" i="1"/>
  <c r="L267" i="1" s="1"/>
  <c r="I268" i="1" l="1"/>
  <c r="M268" i="1" s="1"/>
  <c r="J268" i="1" l="1"/>
  <c r="K268" i="1"/>
  <c r="N268" i="1"/>
  <c r="I269" i="1" s="1"/>
  <c r="N269" i="1" s="1"/>
  <c r="L268" i="1" l="1"/>
  <c r="J269" i="1"/>
  <c r="M269" i="1"/>
  <c r="I270" i="1" s="1"/>
  <c r="N270" i="1" s="1"/>
  <c r="K269" i="1"/>
  <c r="L269" i="1" s="1"/>
  <c r="J270" i="1" l="1"/>
  <c r="K270" i="1"/>
  <c r="M270" i="1"/>
  <c r="I271" i="1" s="1"/>
  <c r="J271" i="1" s="1"/>
  <c r="L270" i="1"/>
  <c r="K271" i="1" l="1"/>
  <c r="M271" i="1"/>
  <c r="N271" i="1"/>
  <c r="L271" i="1"/>
  <c r="I272" i="1" l="1"/>
  <c r="M272" i="1" l="1"/>
  <c r="K272" i="1"/>
  <c r="N272" i="1"/>
  <c r="I273" i="1" s="1"/>
  <c r="N273" i="1" s="1"/>
  <c r="J272" i="1"/>
  <c r="L272" i="1" l="1"/>
  <c r="K273" i="1"/>
  <c r="J273" i="1"/>
  <c r="M273" i="1"/>
  <c r="I274" i="1" s="1"/>
  <c r="J274" i="1" s="1"/>
  <c r="L273" i="1" l="1"/>
  <c r="M274" i="1"/>
  <c r="N274" i="1"/>
  <c r="I275" i="1" s="1"/>
  <c r="N275" i="1" s="1"/>
  <c r="K274" i="1"/>
  <c r="L274" i="1" s="1"/>
  <c r="J275" i="1" l="1"/>
  <c r="M275" i="1"/>
  <c r="I276" i="1" s="1"/>
  <c r="K275" i="1"/>
  <c r="L275" i="1" l="1"/>
  <c r="J276" i="1"/>
  <c r="M276" i="1"/>
  <c r="K276" i="1"/>
  <c r="N276" i="1"/>
  <c r="I277" i="1" l="1"/>
  <c r="K277" i="1" s="1"/>
  <c r="L276" i="1"/>
  <c r="N277" i="1" l="1"/>
  <c r="M277" i="1"/>
  <c r="J277" i="1"/>
  <c r="L277" i="1" s="1"/>
  <c r="I278" i="1"/>
  <c r="J278" i="1" s="1"/>
  <c r="N278" i="1" l="1"/>
  <c r="K278" i="1"/>
  <c r="L278" i="1" s="1"/>
  <c r="M278" i="1"/>
  <c r="I279" i="1" l="1"/>
  <c r="K279" i="1" s="1"/>
  <c r="J279" i="1" l="1"/>
  <c r="L279" i="1" s="1"/>
  <c r="N279" i="1"/>
  <c r="M279" i="1"/>
  <c r="I280" i="1" l="1"/>
  <c r="M280" i="1" l="1"/>
  <c r="K280" i="1"/>
  <c r="J280" i="1"/>
  <c r="N280" i="1"/>
  <c r="I281" i="1" s="1"/>
  <c r="L280" i="1" l="1"/>
  <c r="J281" i="1"/>
  <c r="N281" i="1"/>
  <c r="I282" i="1" s="1"/>
  <c r="M282" i="1" s="1"/>
  <c r="M281" i="1"/>
  <c r="K281" i="1"/>
  <c r="L281" i="1" s="1"/>
  <c r="N282" i="1" l="1"/>
  <c r="I283" i="1" s="1"/>
  <c r="K283" i="1" s="1"/>
  <c r="K282" i="1"/>
  <c r="J282" i="1"/>
  <c r="L282" i="1" s="1"/>
  <c r="N283" i="1" l="1"/>
  <c r="J283" i="1"/>
  <c r="L283" i="1" s="1"/>
  <c r="M283" i="1"/>
  <c r="I284" i="1" l="1"/>
  <c r="J284" i="1" s="1"/>
  <c r="M284" i="1" l="1"/>
  <c r="N284" i="1"/>
  <c r="K284" i="1"/>
  <c r="L284" i="1" s="1"/>
  <c r="I285" i="1"/>
  <c r="K285" i="1" s="1"/>
  <c r="J285" i="1" l="1"/>
  <c r="L285" i="1" s="1"/>
  <c r="M285" i="1"/>
  <c r="N285" i="1"/>
  <c r="I286" i="1" s="1"/>
  <c r="M286" i="1" l="1"/>
  <c r="K286" i="1"/>
  <c r="J286" i="1"/>
  <c r="N286" i="1"/>
  <c r="I287" i="1" s="1"/>
  <c r="K287" i="1" l="1"/>
  <c r="M287" i="1"/>
  <c r="N287" i="1"/>
  <c r="I288" i="1" s="1"/>
  <c r="J287" i="1"/>
  <c r="L287" i="1" s="1"/>
  <c r="L286" i="1"/>
  <c r="N288" i="1" l="1"/>
  <c r="K288" i="1"/>
  <c r="J288" i="1"/>
  <c r="M288" i="1"/>
  <c r="L288" i="1" l="1"/>
  <c r="I289" i="1"/>
  <c r="N289" i="1" l="1"/>
  <c r="J289" i="1"/>
  <c r="K289" i="1"/>
  <c r="M289" i="1"/>
  <c r="L289" i="1" l="1"/>
  <c r="I290" i="1"/>
  <c r="J290" i="1" l="1"/>
  <c r="M290" i="1"/>
  <c r="N290" i="1"/>
  <c r="I291" i="1" s="1"/>
  <c r="K290" i="1"/>
  <c r="L290" i="1" l="1"/>
  <c r="K291" i="1"/>
  <c r="N291" i="1"/>
  <c r="J291" i="1"/>
  <c r="L291" i="1" s="1"/>
  <c r="M291" i="1"/>
  <c r="I292" i="1" l="1"/>
  <c r="K292" i="1" l="1"/>
  <c r="M292" i="1"/>
  <c r="J292" i="1"/>
  <c r="N292" i="1"/>
  <c r="I293" i="1" l="1"/>
  <c r="M293" i="1" s="1"/>
  <c r="L292" i="1"/>
  <c r="N293" i="1" l="1"/>
  <c r="I294" i="1" s="1"/>
  <c r="M294" i="1" s="1"/>
  <c r="J293" i="1"/>
  <c r="L293" i="1" s="1"/>
  <c r="K293" i="1"/>
  <c r="N294" i="1"/>
  <c r="K294" i="1" l="1"/>
  <c r="J294" i="1"/>
  <c r="L294" i="1" s="1"/>
  <c r="I295" i="1"/>
  <c r="N295" i="1" s="1"/>
  <c r="J295" i="1" l="1"/>
  <c r="K295" i="1"/>
  <c r="M295" i="1"/>
  <c r="I296" i="1" s="1"/>
  <c r="L295" i="1" l="1"/>
  <c r="N296" i="1"/>
  <c r="M296" i="1"/>
  <c r="J296" i="1"/>
  <c r="K296" i="1"/>
  <c r="L296" i="1" l="1"/>
  <c r="I297" i="1"/>
  <c r="M297" i="1" l="1"/>
  <c r="K297" i="1"/>
  <c r="N297" i="1"/>
  <c r="I298" i="1" s="1"/>
  <c r="J297" i="1"/>
  <c r="L297" i="1" l="1"/>
  <c r="N298" i="1"/>
  <c r="J298" i="1"/>
  <c r="K298" i="1"/>
  <c r="M298" i="1"/>
  <c r="L298" i="1" l="1"/>
  <c r="I299" i="1"/>
  <c r="N299" i="1" l="1"/>
  <c r="M299" i="1"/>
  <c r="I300" i="1" s="1"/>
  <c r="J299" i="1"/>
  <c r="K299" i="1"/>
  <c r="J300" i="1" l="1"/>
  <c r="M300" i="1"/>
  <c r="N300" i="1"/>
  <c r="I301" i="1" s="1"/>
  <c r="K300" i="1"/>
  <c r="L299" i="1"/>
  <c r="M301" i="1" l="1"/>
  <c r="N301" i="1"/>
  <c r="K301" i="1"/>
  <c r="J301" i="1"/>
  <c r="L300" i="1"/>
  <c r="I302" i="1" l="1"/>
  <c r="K302" i="1" s="1"/>
  <c r="L301" i="1"/>
  <c r="N302" i="1" l="1"/>
  <c r="M302" i="1"/>
  <c r="I303" i="1" s="1"/>
  <c r="J303" i="1" s="1"/>
  <c r="J302" i="1"/>
  <c r="L302" i="1" s="1"/>
  <c r="K303" i="1" l="1"/>
  <c r="N303" i="1"/>
  <c r="M303" i="1"/>
  <c r="L303" i="1"/>
  <c r="I304" i="1" l="1"/>
  <c r="M304" i="1" l="1"/>
  <c r="N304" i="1"/>
  <c r="I305" i="1" s="1"/>
  <c r="J304" i="1"/>
  <c r="K304" i="1"/>
  <c r="L304" i="1" l="1"/>
  <c r="N305" i="1"/>
  <c r="M305" i="1"/>
  <c r="J305" i="1"/>
  <c r="K305" i="1"/>
  <c r="I306" i="1" l="1"/>
  <c r="K306" i="1" s="1"/>
  <c r="L305" i="1"/>
  <c r="N306" i="1" l="1"/>
  <c r="J306" i="1"/>
  <c r="M306" i="1"/>
  <c r="L306" i="1"/>
  <c r="I307" i="1" l="1"/>
  <c r="J307" i="1" l="1"/>
  <c r="K307" i="1"/>
  <c r="M307" i="1"/>
  <c r="N307" i="1"/>
  <c r="I308" i="1" s="1"/>
  <c r="K308" i="1" s="1"/>
  <c r="J308" i="1" l="1"/>
  <c r="M308" i="1"/>
  <c r="N308" i="1"/>
  <c r="I309" i="1" s="1"/>
  <c r="L307" i="1"/>
  <c r="L308" i="1"/>
  <c r="J309" i="1" l="1"/>
  <c r="K309" i="1"/>
  <c r="M309" i="1"/>
  <c r="N309" i="1"/>
  <c r="L309" i="1" l="1"/>
  <c r="I310" i="1"/>
  <c r="J310" i="1" s="1"/>
  <c r="M310" i="1" l="1"/>
  <c r="N310" i="1"/>
  <c r="I311" i="1" s="1"/>
  <c r="N311" i="1" s="1"/>
  <c r="K310" i="1"/>
  <c r="L310" i="1" s="1"/>
  <c r="K311" i="1" l="1"/>
  <c r="M311" i="1"/>
  <c r="I312" i="1" s="1"/>
  <c r="J311" i="1"/>
  <c r="L311" i="1" l="1"/>
  <c r="N312" i="1"/>
  <c r="J312" i="1"/>
  <c r="M312" i="1"/>
  <c r="I313" i="1" s="1"/>
  <c r="K312" i="1"/>
  <c r="L312" i="1" l="1"/>
  <c r="M313" i="1"/>
  <c r="J313" i="1"/>
  <c r="N313" i="1"/>
  <c r="I314" i="1" s="1"/>
  <c r="K313" i="1"/>
  <c r="J314" i="1" l="1"/>
  <c r="K314" i="1"/>
  <c r="M314" i="1"/>
  <c r="N314" i="1"/>
  <c r="I315" i="1" s="1"/>
  <c r="L313" i="1"/>
  <c r="N315" i="1" l="1"/>
  <c r="K315" i="1"/>
  <c r="J315" i="1"/>
  <c r="M315" i="1"/>
  <c r="L314" i="1"/>
  <c r="I316" i="1" l="1"/>
  <c r="N316" i="1" s="1"/>
  <c r="L315" i="1"/>
  <c r="K316" i="1" l="1"/>
  <c r="J316" i="1"/>
  <c r="L316" i="1" s="1"/>
  <c r="M316" i="1"/>
  <c r="I317" i="1" s="1"/>
  <c r="N317" i="1" s="1"/>
  <c r="M317" i="1" l="1"/>
  <c r="I318" i="1" s="1"/>
  <c r="J317" i="1"/>
  <c r="K317" i="1"/>
  <c r="N318" i="1" l="1"/>
  <c r="J318" i="1"/>
  <c r="K318" i="1"/>
  <c r="M318" i="1"/>
  <c r="L317" i="1"/>
  <c r="L318" i="1" l="1"/>
  <c r="I319" i="1"/>
  <c r="N319" i="1" l="1"/>
  <c r="J319" i="1"/>
  <c r="M319" i="1"/>
  <c r="I320" i="1" s="1"/>
  <c r="K319" i="1"/>
  <c r="J320" i="1" l="1"/>
  <c r="M320" i="1"/>
  <c r="K320" i="1"/>
  <c r="N320" i="1"/>
  <c r="I321" i="1" s="1"/>
  <c r="L319" i="1"/>
  <c r="N321" i="1" l="1"/>
  <c r="M321" i="1"/>
  <c r="K321" i="1"/>
  <c r="J321" i="1"/>
  <c r="L320" i="1"/>
  <c r="L321" i="1" l="1"/>
  <c r="I322" i="1"/>
  <c r="J322" i="1" s="1"/>
  <c r="K322" i="1" l="1"/>
  <c r="L322" i="1" s="1"/>
  <c r="N322" i="1"/>
  <c r="M322" i="1"/>
  <c r="I323" i="1" l="1"/>
  <c r="N323" i="1" s="1"/>
  <c r="K323" i="1" l="1"/>
  <c r="J323" i="1"/>
  <c r="M323" i="1"/>
  <c r="I324" i="1" s="1"/>
  <c r="M324" i="1" s="1"/>
  <c r="L323" i="1"/>
  <c r="J324" i="1" l="1"/>
  <c r="N324" i="1"/>
  <c r="I325" i="1" s="1"/>
  <c r="M325" i="1" s="1"/>
  <c r="K324" i="1"/>
  <c r="K325" i="1" l="1"/>
  <c r="N325" i="1"/>
  <c r="I326" i="1" s="1"/>
  <c r="K326" i="1" s="1"/>
  <c r="J325" i="1"/>
  <c r="L324" i="1"/>
  <c r="L325" i="1"/>
  <c r="M326" i="1" l="1"/>
  <c r="J326" i="1"/>
  <c r="L326" i="1" s="1"/>
  <c r="N326" i="1"/>
  <c r="I327" i="1" s="1"/>
  <c r="M327" i="1" l="1"/>
  <c r="J327" i="1"/>
  <c r="K327" i="1"/>
  <c r="N327" i="1"/>
  <c r="I328" i="1" s="1"/>
  <c r="L327" i="1" l="1"/>
  <c r="J328" i="1"/>
  <c r="M328" i="1"/>
  <c r="K328" i="1"/>
  <c r="N328" i="1"/>
  <c r="I329" i="1" s="1"/>
  <c r="N329" i="1" l="1"/>
  <c r="J329" i="1"/>
  <c r="K329" i="1"/>
  <c r="M329" i="1"/>
  <c r="L328" i="1"/>
  <c r="L329" i="1" l="1"/>
  <c r="I330" i="1"/>
  <c r="M330" i="1" l="1"/>
  <c r="N330" i="1"/>
  <c r="K330" i="1"/>
  <c r="J330" i="1"/>
  <c r="L330" i="1" l="1"/>
  <c r="I331" i="1"/>
  <c r="J331" i="1" s="1"/>
  <c r="K331" i="1" l="1"/>
  <c r="N331" i="1"/>
  <c r="I332" i="1" s="1"/>
  <c r="J332" i="1" s="1"/>
  <c r="M331" i="1"/>
  <c r="L331" i="1"/>
  <c r="N332" i="1" l="1"/>
  <c r="K332" i="1"/>
  <c r="L332" i="1" s="1"/>
  <c r="M332" i="1"/>
  <c r="I333" i="1" l="1"/>
  <c r="N333" i="1" s="1"/>
  <c r="M333" i="1" l="1"/>
  <c r="K333" i="1"/>
  <c r="J333" i="1"/>
  <c r="I334" i="1"/>
  <c r="J334" i="1" s="1"/>
  <c r="L333" i="1" l="1"/>
  <c r="K334" i="1"/>
  <c r="L334" i="1" s="1"/>
  <c r="N334" i="1"/>
  <c r="M334" i="1"/>
  <c r="I335" i="1" l="1"/>
  <c r="M335" i="1" s="1"/>
  <c r="J335" i="1" l="1"/>
  <c r="N335" i="1"/>
  <c r="I336" i="1" s="1"/>
  <c r="M336" i="1" s="1"/>
  <c r="K335" i="1"/>
  <c r="L335" i="1" s="1"/>
  <c r="K336" i="1" l="1"/>
  <c r="J336" i="1"/>
  <c r="N336" i="1"/>
  <c r="I337" i="1" s="1"/>
  <c r="N337" i="1" s="1"/>
  <c r="J337" i="1" l="1"/>
  <c r="K337" i="1"/>
  <c r="L337" i="1" s="1"/>
  <c r="M337" i="1"/>
  <c r="I338" i="1" s="1"/>
  <c r="M338" i="1" s="1"/>
  <c r="L336" i="1"/>
  <c r="J338" i="1" l="1"/>
  <c r="N338" i="1"/>
  <c r="I339" i="1" s="1"/>
  <c r="J339" i="1" s="1"/>
  <c r="K338" i="1"/>
  <c r="L338" i="1" s="1"/>
  <c r="N339" i="1" l="1"/>
  <c r="K339" i="1"/>
  <c r="L339" i="1" s="1"/>
  <c r="M339" i="1"/>
  <c r="I340" i="1" s="1"/>
  <c r="K340" i="1" l="1"/>
  <c r="J340" i="1"/>
  <c r="L340" i="1" s="1"/>
  <c r="N340" i="1"/>
  <c r="M340" i="1"/>
  <c r="I341" i="1" l="1"/>
  <c r="M341" i="1" s="1"/>
  <c r="N341" i="1"/>
  <c r="I342" i="1" s="1"/>
  <c r="M342" i="1" s="1"/>
  <c r="K341" i="1"/>
  <c r="J341" i="1" l="1"/>
  <c r="L341" i="1" s="1"/>
  <c r="J342" i="1"/>
  <c r="K342" i="1"/>
  <c r="N342" i="1"/>
  <c r="L342" i="1"/>
  <c r="I343" i="1"/>
  <c r="K343" i="1" l="1"/>
  <c r="N343" i="1"/>
  <c r="M343" i="1"/>
  <c r="J343" i="1"/>
  <c r="L343" i="1" l="1"/>
  <c r="I344" i="1"/>
  <c r="N344" i="1" s="1"/>
  <c r="K344" i="1" l="1"/>
  <c r="J344" i="1"/>
  <c r="L344" i="1" s="1"/>
  <c r="M344" i="1"/>
  <c r="I345" i="1" s="1"/>
  <c r="M345" i="1" l="1"/>
  <c r="J345" i="1"/>
  <c r="N345" i="1"/>
  <c r="K345" i="1"/>
  <c r="I346" i="1" l="1"/>
  <c r="L345" i="1"/>
  <c r="M346" i="1" l="1"/>
  <c r="K346" i="1"/>
  <c r="N346" i="1"/>
  <c r="J346" i="1"/>
  <c r="L346" i="1" l="1"/>
  <c r="I347" i="1"/>
  <c r="M347" i="1" s="1"/>
  <c r="N347" i="1" l="1"/>
  <c r="I348" i="1" s="1"/>
  <c r="N348" i="1" s="1"/>
  <c r="J347" i="1"/>
  <c r="K347" i="1"/>
  <c r="L347" i="1" s="1"/>
  <c r="K348" i="1" l="1"/>
  <c r="J348" i="1"/>
  <c r="M348" i="1"/>
  <c r="I349" i="1"/>
  <c r="L348" i="1" l="1"/>
  <c r="J349" i="1"/>
  <c r="K349" i="1"/>
  <c r="N349" i="1"/>
  <c r="M349" i="1"/>
  <c r="I350" i="1" l="1"/>
  <c r="L349" i="1"/>
  <c r="J350" i="1" l="1"/>
  <c r="N350" i="1"/>
  <c r="M350" i="1"/>
  <c r="K350" i="1"/>
  <c r="I351" i="1" l="1"/>
  <c r="M351" i="1" s="1"/>
  <c r="L350" i="1"/>
  <c r="K351" i="1" l="1"/>
  <c r="N351" i="1"/>
  <c r="I352" i="1" s="1"/>
  <c r="M352" i="1" s="1"/>
  <c r="J351" i="1"/>
  <c r="L351" i="1" s="1"/>
  <c r="J352" i="1" l="1"/>
  <c r="K352" i="1"/>
  <c r="N352" i="1"/>
  <c r="I353" i="1" s="1"/>
  <c r="K353" i="1" s="1"/>
  <c r="L352" i="1" l="1"/>
  <c r="M353" i="1"/>
  <c r="J353" i="1"/>
  <c r="L353" i="1" s="1"/>
  <c r="N353" i="1"/>
  <c r="I354" i="1" l="1"/>
  <c r="N354" i="1" s="1"/>
  <c r="J354" i="1" l="1"/>
  <c r="M354" i="1"/>
  <c r="K354" i="1"/>
  <c r="L354" i="1" s="1"/>
  <c r="I355" i="1"/>
  <c r="N355" i="1" l="1"/>
  <c r="M355" i="1"/>
  <c r="K355" i="1"/>
  <c r="J355" i="1"/>
  <c r="L355" i="1" l="1"/>
  <c r="I356" i="1"/>
  <c r="N356" i="1" l="1"/>
  <c r="K356" i="1"/>
  <c r="M356" i="1"/>
  <c r="J356" i="1"/>
  <c r="L356" i="1" l="1"/>
  <c r="I357" i="1"/>
  <c r="N357" i="1" l="1"/>
  <c r="J357" i="1"/>
  <c r="M357" i="1"/>
  <c r="K357" i="1"/>
  <c r="L357" i="1" l="1"/>
  <c r="I358" i="1"/>
  <c r="N358" i="1" l="1"/>
  <c r="J358" i="1"/>
  <c r="K358" i="1"/>
  <c r="M358" i="1"/>
  <c r="I359" i="1" l="1"/>
  <c r="J359" i="1" s="1"/>
  <c r="L358" i="1"/>
  <c r="K359" i="1" l="1"/>
  <c r="L359" i="1" s="1"/>
  <c r="M359" i="1"/>
  <c r="N359" i="1"/>
  <c r="I360" i="1" s="1"/>
  <c r="M360" i="1" l="1"/>
  <c r="K360" i="1"/>
  <c r="N360" i="1"/>
  <c r="I361" i="1" s="1"/>
  <c r="J360" i="1"/>
  <c r="L360" i="1" s="1"/>
  <c r="J361" i="1" l="1"/>
  <c r="M361" i="1"/>
  <c r="N361" i="1"/>
  <c r="I362" i="1" s="1"/>
  <c r="K361" i="1"/>
  <c r="L361" i="1" s="1"/>
  <c r="K362" i="1" l="1"/>
  <c r="N362" i="1"/>
  <c r="J362" i="1"/>
  <c r="L362" i="1" s="1"/>
  <c r="M362" i="1"/>
  <c r="I363" i="1" l="1"/>
  <c r="M363" i="1" s="1"/>
  <c r="N363" i="1" l="1"/>
  <c r="I364" i="1" s="1"/>
  <c r="J364" i="1" s="1"/>
  <c r="K363" i="1"/>
  <c r="J363" i="1"/>
  <c r="L363" i="1" l="1"/>
  <c r="M364" i="1"/>
  <c r="N364" i="1"/>
  <c r="K364" i="1"/>
  <c r="L364" i="1" s="1"/>
  <c r="I365" i="1" l="1"/>
  <c r="M365" i="1" l="1"/>
  <c r="N365" i="1"/>
  <c r="K365" i="1"/>
  <c r="J365" i="1"/>
  <c r="I366" i="1" l="1"/>
  <c r="M366" i="1" s="1"/>
  <c r="L365" i="1"/>
  <c r="J366" i="1" l="1"/>
  <c r="N366" i="1"/>
  <c r="I367" i="1" s="1"/>
  <c r="K367" i="1" s="1"/>
  <c r="K366" i="1"/>
  <c r="L366" i="1" s="1"/>
  <c r="M367" i="1" l="1"/>
  <c r="N367" i="1"/>
  <c r="I368" i="1" s="1"/>
  <c r="K368" i="1" s="1"/>
  <c r="J367" i="1"/>
  <c r="L367" i="1" s="1"/>
  <c r="J368" i="1" l="1"/>
  <c r="M368" i="1"/>
  <c r="N368" i="1"/>
  <c r="I369" i="1" s="1"/>
  <c r="N369" i="1" s="1"/>
  <c r="L368" i="1"/>
  <c r="K369" i="1" l="1"/>
  <c r="M369" i="1"/>
  <c r="I370" i="1" s="1"/>
  <c r="J369" i="1"/>
  <c r="L369" i="1" s="1"/>
  <c r="M370" i="1" l="1"/>
  <c r="N370" i="1"/>
  <c r="I371" i="1" s="1"/>
  <c r="K370" i="1"/>
  <c r="J370" i="1"/>
  <c r="M371" i="1" l="1"/>
  <c r="K371" i="1"/>
  <c r="J371" i="1"/>
  <c r="N371" i="1"/>
  <c r="I372" i="1" s="1"/>
  <c r="L370" i="1"/>
  <c r="L371" i="1" l="1"/>
  <c r="K372" i="1"/>
  <c r="N372" i="1"/>
  <c r="M372" i="1"/>
  <c r="J372" i="1"/>
  <c r="L372" i="1" s="1"/>
  <c r="I373" i="1" l="1"/>
  <c r="M373" i="1" s="1"/>
  <c r="K373" i="1" l="1"/>
  <c r="J373" i="1"/>
  <c r="L373" i="1" s="1"/>
  <c r="N373" i="1"/>
  <c r="I374" i="1" s="1"/>
  <c r="K374" i="1" s="1"/>
  <c r="N374" i="1" l="1"/>
  <c r="J374" i="1"/>
  <c r="L374" i="1" s="1"/>
  <c r="M374" i="1"/>
  <c r="I375" i="1" l="1"/>
  <c r="M375" i="1" l="1"/>
  <c r="N375" i="1"/>
  <c r="I376" i="1" s="1"/>
  <c r="J375" i="1"/>
  <c r="K375" i="1"/>
  <c r="K376" i="1" l="1"/>
  <c r="J376" i="1"/>
  <c r="M376" i="1"/>
  <c r="N376" i="1"/>
  <c r="I377" i="1" s="1"/>
  <c r="L375" i="1"/>
  <c r="L376" i="1" l="1"/>
  <c r="M377" i="1"/>
  <c r="J377" i="1"/>
  <c r="N377" i="1"/>
  <c r="I378" i="1" s="1"/>
  <c r="K377" i="1"/>
  <c r="L377" i="1" l="1"/>
  <c r="M378" i="1"/>
  <c r="N378" i="1"/>
  <c r="I379" i="1" s="1"/>
  <c r="M379" i="1" s="1"/>
  <c r="K378" i="1"/>
  <c r="J378" i="1"/>
  <c r="L378" i="1" l="1"/>
  <c r="N379" i="1"/>
  <c r="I380" i="1" s="1"/>
  <c r="M380" i="1" s="1"/>
  <c r="J379" i="1"/>
  <c r="K379" i="1"/>
  <c r="J380" i="1" l="1"/>
  <c r="N380" i="1"/>
  <c r="I381" i="1" s="1"/>
  <c r="J381" i="1" s="1"/>
  <c r="L379" i="1"/>
  <c r="K380" i="1"/>
  <c r="L380" i="1" s="1"/>
  <c r="N381" i="1" l="1"/>
  <c r="K381" i="1"/>
  <c r="L381" i="1" s="1"/>
  <c r="M381" i="1"/>
  <c r="I382" i="1"/>
  <c r="N382" i="1" s="1"/>
  <c r="M382" i="1" l="1"/>
  <c r="I383" i="1" s="1"/>
  <c r="J382" i="1"/>
  <c r="K382" i="1"/>
  <c r="L382" i="1" l="1"/>
  <c r="K383" i="1"/>
  <c r="J383" i="1"/>
  <c r="N383" i="1"/>
  <c r="M383" i="1"/>
  <c r="I384" i="1" l="1"/>
  <c r="L383" i="1"/>
  <c r="M384" i="1" l="1"/>
  <c r="J384" i="1"/>
  <c r="N384" i="1"/>
  <c r="K384" i="1"/>
  <c r="L384" i="1" l="1"/>
  <c r="I385" i="1"/>
  <c r="M385" i="1" l="1"/>
  <c r="K385" i="1"/>
  <c r="J385" i="1"/>
  <c r="N385" i="1"/>
  <c r="I386" i="1" s="1"/>
  <c r="M386" i="1" l="1"/>
  <c r="K386" i="1"/>
  <c r="N386" i="1"/>
  <c r="J386" i="1"/>
  <c r="L386" i="1" s="1"/>
  <c r="L385" i="1"/>
  <c r="I387" i="1" l="1"/>
  <c r="N387" i="1" l="1"/>
  <c r="J387" i="1"/>
  <c r="K387" i="1"/>
  <c r="M387" i="1"/>
  <c r="I388" i="1" s="1"/>
  <c r="L387" i="1" l="1"/>
  <c r="J388" i="1"/>
  <c r="M388" i="1"/>
  <c r="K388" i="1"/>
  <c r="L388" i="1" s="1"/>
  <c r="N388" i="1"/>
  <c r="I389" i="1" s="1"/>
  <c r="J389" i="1" l="1"/>
  <c r="N389" i="1"/>
  <c r="K389" i="1"/>
  <c r="L389" i="1" s="1"/>
  <c r="M389" i="1"/>
  <c r="I390" i="1" l="1"/>
  <c r="N390" i="1" s="1"/>
  <c r="M390" i="1" l="1"/>
  <c r="K390" i="1"/>
  <c r="J390" i="1"/>
  <c r="I391" i="1"/>
  <c r="N391" i="1" s="1"/>
  <c r="L390" i="1" l="1"/>
  <c r="M391" i="1"/>
  <c r="J391" i="1"/>
  <c r="K391" i="1"/>
  <c r="I392" i="1"/>
  <c r="K392" i="1" s="1"/>
  <c r="M392" i="1" l="1"/>
  <c r="J392" i="1"/>
  <c r="N392" i="1"/>
  <c r="I393" i="1" s="1"/>
  <c r="L391" i="1"/>
  <c r="L392" i="1"/>
  <c r="M393" i="1" l="1"/>
  <c r="N393" i="1"/>
  <c r="I394" i="1" s="1"/>
  <c r="M394" i="1" s="1"/>
  <c r="J393" i="1"/>
  <c r="K393" i="1"/>
  <c r="L393" i="1" l="1"/>
  <c r="K394" i="1"/>
  <c r="N394" i="1"/>
  <c r="I395" i="1" s="1"/>
  <c r="J394" i="1"/>
  <c r="L394" i="1" s="1"/>
  <c r="M395" i="1" l="1"/>
  <c r="N395" i="1"/>
  <c r="I396" i="1" s="1"/>
  <c r="K395" i="1"/>
  <c r="J395" i="1"/>
  <c r="M396" i="1" l="1"/>
  <c r="N396" i="1"/>
  <c r="I397" i="1" s="1"/>
  <c r="K396" i="1"/>
  <c r="J396" i="1"/>
  <c r="L395" i="1"/>
  <c r="L396" i="1" l="1"/>
  <c r="N397" i="1"/>
  <c r="J397" i="1"/>
  <c r="M397" i="1"/>
  <c r="K397" i="1"/>
  <c r="I398" i="1" l="1"/>
  <c r="K398" i="1" s="1"/>
  <c r="L397" i="1"/>
  <c r="N398" i="1" l="1"/>
  <c r="M398" i="1"/>
  <c r="J398" i="1"/>
  <c r="L398" i="1" s="1"/>
  <c r="I399" i="1" l="1"/>
  <c r="J399" i="1" s="1"/>
  <c r="N399" i="1" l="1"/>
  <c r="K399" i="1"/>
  <c r="L399" i="1" s="1"/>
  <c r="M399" i="1"/>
  <c r="I400" i="1" s="1"/>
  <c r="N400" i="1" s="1"/>
  <c r="K400" i="1" l="1"/>
  <c r="J400" i="1"/>
  <c r="L400" i="1" s="1"/>
  <c r="M400" i="1"/>
  <c r="I401" i="1" s="1"/>
  <c r="N401" i="1" l="1"/>
  <c r="M401" i="1"/>
  <c r="J401" i="1"/>
  <c r="L401" i="1" s="1"/>
  <c r="K401" i="1"/>
  <c r="I402" i="1"/>
  <c r="M402" i="1" s="1"/>
  <c r="J402" i="1" l="1"/>
  <c r="N402" i="1"/>
  <c r="I403" i="1" s="1"/>
  <c r="M403" i="1" s="1"/>
  <c r="K402" i="1"/>
  <c r="L402" i="1" s="1"/>
  <c r="N403" i="1" l="1"/>
  <c r="I404" i="1" s="1"/>
  <c r="K404" i="1" s="1"/>
  <c r="K403" i="1"/>
  <c r="J403" i="1"/>
  <c r="J404" i="1" l="1"/>
  <c r="L404" i="1" s="1"/>
  <c r="N404" i="1"/>
  <c r="L403" i="1"/>
  <c r="M404" i="1"/>
  <c r="I405" i="1" l="1"/>
  <c r="K405" i="1" s="1"/>
  <c r="M405" i="1" l="1"/>
  <c r="J405" i="1"/>
  <c r="L405" i="1" s="1"/>
  <c r="N405" i="1"/>
  <c r="I406" i="1"/>
  <c r="N406" i="1" s="1"/>
  <c r="I407" i="1" s="1"/>
  <c r="K407" i="1" s="1"/>
  <c r="M406" i="1" l="1"/>
  <c r="J406" i="1"/>
  <c r="K406" i="1"/>
  <c r="L406" i="1" s="1"/>
  <c r="M407" i="1"/>
  <c r="N407" i="1"/>
  <c r="I408" i="1" s="1"/>
  <c r="J407" i="1"/>
  <c r="L407" i="1" s="1"/>
  <c r="M408" i="1" l="1"/>
  <c r="K408" i="1"/>
  <c r="N408" i="1"/>
  <c r="J408" i="1"/>
  <c r="L408" i="1" l="1"/>
  <c r="I409" i="1"/>
  <c r="N409" i="1" s="1"/>
  <c r="M409" i="1" l="1"/>
  <c r="I410" i="1" s="1"/>
  <c r="J409" i="1"/>
  <c r="K409" i="1"/>
  <c r="N410" i="1" l="1"/>
  <c r="J410" i="1"/>
  <c r="M410" i="1"/>
  <c r="K410" i="1"/>
  <c r="L409" i="1"/>
  <c r="L410" i="1"/>
  <c r="I411" i="1" l="1"/>
  <c r="M411" i="1" l="1"/>
  <c r="K411" i="1"/>
  <c r="N411" i="1"/>
  <c r="I412" i="1" s="1"/>
  <c r="J412" i="1" s="1"/>
  <c r="J411" i="1"/>
  <c r="L411" i="1" s="1"/>
  <c r="K412" i="1" l="1"/>
  <c r="L412" i="1" s="1"/>
  <c r="N412" i="1"/>
  <c r="M412" i="1"/>
  <c r="I413" i="1"/>
  <c r="M413" i="1" s="1"/>
  <c r="K413" i="1" l="1"/>
  <c r="J413" i="1"/>
  <c r="L413" i="1" s="1"/>
  <c r="N413" i="1"/>
  <c r="I414" i="1" s="1"/>
  <c r="M414" i="1" s="1"/>
  <c r="N414" i="1" l="1"/>
  <c r="I415" i="1" s="1"/>
  <c r="K415" i="1" s="1"/>
  <c r="J414" i="1"/>
  <c r="K414" i="1"/>
  <c r="L414" i="1" s="1"/>
  <c r="M415" i="1"/>
  <c r="N415" i="1"/>
  <c r="J415" i="1"/>
  <c r="L415" i="1" s="1"/>
  <c r="I416" i="1" l="1"/>
  <c r="J416" i="1" s="1"/>
  <c r="K416" i="1" l="1"/>
  <c r="L416" i="1" s="1"/>
  <c r="N416" i="1"/>
  <c r="M416" i="1"/>
  <c r="I417" i="1" l="1"/>
  <c r="M417" i="1" s="1"/>
  <c r="N417" i="1" l="1"/>
  <c r="I418" i="1" s="1"/>
  <c r="J418" i="1" s="1"/>
  <c r="K417" i="1"/>
  <c r="J417" i="1"/>
  <c r="L417" i="1" s="1"/>
  <c r="M418" i="1" l="1"/>
  <c r="K418" i="1"/>
  <c r="L418" i="1" s="1"/>
  <c r="N418" i="1"/>
  <c r="I419" i="1"/>
  <c r="M419" i="1" l="1"/>
  <c r="J419" i="1"/>
  <c r="K419" i="1"/>
  <c r="N419" i="1"/>
  <c r="I420" i="1" l="1"/>
  <c r="M420" i="1" s="1"/>
  <c r="L419" i="1"/>
  <c r="K420" i="1" l="1"/>
  <c r="N420" i="1"/>
  <c r="I421" i="1" s="1"/>
  <c r="K421" i="1" s="1"/>
  <c r="J420" i="1"/>
  <c r="L420" i="1" l="1"/>
  <c r="N421" i="1"/>
  <c r="J421" i="1"/>
  <c r="L421" i="1" s="1"/>
  <c r="M421" i="1"/>
  <c r="I422" i="1" l="1"/>
  <c r="K422" i="1" s="1"/>
  <c r="N422" i="1" l="1"/>
  <c r="M422" i="1"/>
  <c r="J422" i="1"/>
  <c r="L422" i="1" s="1"/>
  <c r="I423" i="1" l="1"/>
  <c r="K423" i="1" l="1"/>
  <c r="M423" i="1"/>
  <c r="J423" i="1"/>
  <c r="N423" i="1"/>
  <c r="I424" i="1" s="1"/>
  <c r="J424" i="1" s="1"/>
  <c r="L423" i="1" l="1"/>
  <c r="K424" i="1"/>
  <c r="L424" i="1" s="1"/>
  <c r="M424" i="1"/>
  <c r="N424" i="1"/>
  <c r="I425" i="1" s="1"/>
  <c r="K425" i="1" l="1"/>
  <c r="J425" i="1"/>
  <c r="L425" i="1" s="1"/>
  <c r="M425" i="1"/>
  <c r="N425" i="1"/>
  <c r="I426" i="1" s="1"/>
  <c r="M426" i="1" s="1"/>
  <c r="N426" i="1" l="1"/>
  <c r="I427" i="1" s="1"/>
  <c r="J427" i="1" s="1"/>
  <c r="J426" i="1"/>
  <c r="K426" i="1"/>
  <c r="L426" i="1" l="1"/>
  <c r="N427" i="1"/>
  <c r="K427" i="1"/>
  <c r="L427" i="1" s="1"/>
  <c r="M427" i="1"/>
  <c r="I428" i="1" l="1"/>
  <c r="M428" i="1" s="1"/>
  <c r="K428" i="1" l="1"/>
  <c r="N428" i="1"/>
  <c r="I429" i="1" s="1"/>
  <c r="M429" i="1" s="1"/>
  <c r="J428" i="1"/>
  <c r="L428" i="1" s="1"/>
  <c r="N429" i="1" l="1"/>
  <c r="I430" i="1" s="1"/>
  <c r="K430" i="1" s="1"/>
  <c r="K429" i="1"/>
  <c r="J429" i="1"/>
  <c r="M430" i="1"/>
  <c r="J430" i="1"/>
  <c r="L430" i="1" s="1"/>
  <c r="N430" i="1"/>
  <c r="L429" i="1"/>
  <c r="I431" i="1" l="1"/>
  <c r="N431" i="1" s="1"/>
  <c r="K431" i="1" l="1"/>
  <c r="J431" i="1"/>
  <c r="M431" i="1"/>
  <c r="I432" i="1" s="1"/>
  <c r="L431" i="1"/>
  <c r="J432" i="1" l="1"/>
  <c r="M432" i="1"/>
  <c r="N432" i="1"/>
  <c r="I433" i="1" s="1"/>
  <c r="K432" i="1"/>
  <c r="M433" i="1" l="1"/>
  <c r="J433" i="1"/>
  <c r="N433" i="1"/>
  <c r="I434" i="1" s="1"/>
  <c r="K433" i="1"/>
  <c r="L432" i="1"/>
  <c r="N434" i="1" l="1"/>
  <c r="J434" i="1"/>
  <c r="M434" i="1"/>
  <c r="K434" i="1"/>
  <c r="L433" i="1"/>
  <c r="L434" i="1" l="1"/>
  <c r="I435" i="1"/>
  <c r="K435" i="1" l="1"/>
  <c r="J435" i="1"/>
  <c r="L435" i="1" s="1"/>
  <c r="M435" i="1"/>
  <c r="N435" i="1"/>
  <c r="I436" i="1" l="1"/>
  <c r="N436" i="1" s="1"/>
  <c r="K436" i="1" l="1"/>
  <c r="J436" i="1"/>
  <c r="L436" i="1" s="1"/>
  <c r="M436" i="1"/>
  <c r="I437" i="1"/>
  <c r="J437" i="1" l="1"/>
  <c r="N437" i="1"/>
  <c r="M437" i="1"/>
  <c r="K437" i="1"/>
  <c r="I438" i="1" l="1"/>
  <c r="K438" i="1" s="1"/>
  <c r="L437" i="1"/>
  <c r="J438" i="1" l="1"/>
  <c r="L438" i="1" s="1"/>
  <c r="N438" i="1"/>
  <c r="M438" i="1"/>
  <c r="I439" i="1" l="1"/>
  <c r="M439" i="1" s="1"/>
  <c r="J439" i="1"/>
  <c r="K439" i="1" l="1"/>
  <c r="N439" i="1"/>
  <c r="I440" i="1" s="1"/>
  <c r="K440" i="1" s="1"/>
  <c r="L439" i="1"/>
  <c r="N440" i="1" l="1"/>
  <c r="M440" i="1"/>
  <c r="J440" i="1"/>
  <c r="L440" i="1" s="1"/>
  <c r="I441" i="1"/>
  <c r="K441" i="1" l="1"/>
  <c r="N441" i="1"/>
  <c r="J441" i="1"/>
  <c r="L441" i="1" s="1"/>
  <c r="M441" i="1"/>
  <c r="I442" i="1" l="1"/>
  <c r="K442" i="1" s="1"/>
  <c r="J442" i="1" l="1"/>
  <c r="N442" i="1"/>
  <c r="M442" i="1"/>
  <c r="L442" i="1"/>
  <c r="I443" i="1"/>
  <c r="N443" i="1" l="1"/>
  <c r="K443" i="1"/>
  <c r="M443" i="1"/>
  <c r="I444" i="1" s="1"/>
  <c r="J443" i="1"/>
  <c r="L443" i="1" l="1"/>
  <c r="M444" i="1"/>
  <c r="N444" i="1"/>
  <c r="K444" i="1"/>
  <c r="J444" i="1"/>
  <c r="L444" i="1" s="1"/>
  <c r="I445" i="1" l="1"/>
  <c r="N445" i="1" s="1"/>
  <c r="J445" i="1" l="1"/>
  <c r="K445" i="1"/>
  <c r="M445" i="1"/>
  <c r="I446" i="1"/>
  <c r="M446" i="1" s="1"/>
  <c r="L445" i="1"/>
  <c r="N446" i="1" l="1"/>
  <c r="J446" i="1"/>
  <c r="K446" i="1"/>
  <c r="I447" i="1"/>
  <c r="J447" i="1" s="1"/>
  <c r="L446" i="1"/>
  <c r="K447" i="1" l="1"/>
  <c r="L447" i="1" s="1"/>
  <c r="N447" i="1"/>
  <c r="I448" i="1" s="1"/>
  <c r="J448" i="1" s="1"/>
  <c r="M447" i="1"/>
  <c r="K448" i="1" l="1"/>
  <c r="L448" i="1" s="1"/>
  <c r="N448" i="1"/>
  <c r="M448" i="1"/>
  <c r="I449" i="1" l="1"/>
  <c r="J449" i="1" s="1"/>
  <c r="K449" i="1" l="1"/>
  <c r="L449" i="1" s="1"/>
  <c r="M449" i="1"/>
  <c r="N449" i="1"/>
  <c r="I450" i="1" l="1"/>
  <c r="M450" i="1" l="1"/>
  <c r="K450" i="1"/>
  <c r="N450" i="1"/>
  <c r="I451" i="1" s="1"/>
  <c r="J450" i="1"/>
  <c r="L450" i="1" l="1"/>
  <c r="N451" i="1"/>
  <c r="K451" i="1"/>
  <c r="J451" i="1"/>
  <c r="M451" i="1"/>
  <c r="I452" i="1" s="1"/>
  <c r="L451" i="1" l="1"/>
  <c r="J452" i="1"/>
  <c r="N452" i="1"/>
  <c r="M452" i="1"/>
  <c r="K452" i="1"/>
  <c r="I453" i="1" l="1"/>
  <c r="L452" i="1"/>
  <c r="M453" i="1" l="1"/>
  <c r="J453" i="1"/>
  <c r="K453" i="1"/>
  <c r="N453" i="1"/>
  <c r="I454" i="1" s="1"/>
  <c r="L453" i="1" l="1"/>
  <c r="K454" i="1"/>
  <c r="J454" i="1"/>
  <c r="L454" i="1" s="1"/>
  <c r="M454" i="1"/>
  <c r="N454" i="1"/>
  <c r="I455" i="1" s="1"/>
  <c r="M455" i="1" s="1"/>
  <c r="K455" i="1" l="1"/>
  <c r="J455" i="1"/>
  <c r="L455" i="1" s="1"/>
  <c r="N455" i="1"/>
  <c r="I456" i="1" s="1"/>
  <c r="J456" i="1" s="1"/>
  <c r="K456" i="1" l="1"/>
  <c r="M456" i="1"/>
  <c r="N456" i="1"/>
  <c r="I457" i="1" s="1"/>
  <c r="L456" i="1"/>
  <c r="J457" i="1" l="1"/>
  <c r="N457" i="1"/>
  <c r="I458" i="1" s="1"/>
  <c r="K457" i="1"/>
  <c r="M457" i="1"/>
  <c r="N458" i="1" l="1"/>
  <c r="M458" i="1"/>
  <c r="K458" i="1"/>
  <c r="J458" i="1"/>
  <c r="L457" i="1"/>
  <c r="I459" i="1" l="1"/>
  <c r="M459" i="1" s="1"/>
  <c r="L458" i="1"/>
  <c r="J459" i="1" l="1"/>
  <c r="N459" i="1"/>
  <c r="I460" i="1" s="1"/>
  <c r="K460" i="1" s="1"/>
  <c r="K459" i="1"/>
  <c r="L459" i="1" l="1"/>
  <c r="J460" i="1"/>
  <c r="M460" i="1"/>
  <c r="N460" i="1"/>
  <c r="I461" i="1" s="1"/>
  <c r="L460" i="1"/>
  <c r="J461" i="1" l="1"/>
  <c r="N461" i="1"/>
  <c r="K461" i="1"/>
  <c r="L461" i="1" s="1"/>
  <c r="M461" i="1"/>
  <c r="I462" i="1" l="1"/>
  <c r="K462" i="1" l="1"/>
  <c r="J462" i="1"/>
  <c r="M462" i="1"/>
  <c r="N462" i="1"/>
  <c r="I463" i="1" s="1"/>
  <c r="L462" i="1" l="1"/>
  <c r="N463" i="1"/>
  <c r="J463" i="1"/>
  <c r="M463" i="1"/>
  <c r="K463" i="1"/>
  <c r="L463" i="1" l="1"/>
  <c r="I464" i="1"/>
  <c r="J464" i="1" l="1"/>
  <c r="N464" i="1"/>
  <c r="K464" i="1"/>
  <c r="M464" i="1"/>
  <c r="I465" i="1" l="1"/>
  <c r="L464" i="1"/>
  <c r="N465" i="1" l="1"/>
  <c r="M465" i="1"/>
  <c r="I466" i="1" s="1"/>
  <c r="J465" i="1"/>
  <c r="K465" i="1"/>
  <c r="L465" i="1" l="1"/>
  <c r="N466" i="1"/>
  <c r="M466" i="1"/>
  <c r="J466" i="1"/>
  <c r="K466" i="1"/>
  <c r="I467" i="1" l="1"/>
  <c r="M467" i="1" s="1"/>
  <c r="L466" i="1"/>
  <c r="K467" i="1" l="1"/>
  <c r="J467" i="1"/>
  <c r="N467" i="1"/>
  <c r="I468" i="1" s="1"/>
  <c r="K468" i="1" s="1"/>
  <c r="L467" i="1"/>
  <c r="M468" i="1" l="1"/>
  <c r="J468" i="1"/>
  <c r="N468" i="1"/>
  <c r="L468" i="1"/>
  <c r="I469" i="1"/>
  <c r="M469" i="1" l="1"/>
  <c r="J469" i="1"/>
  <c r="N469" i="1"/>
  <c r="I470" i="1" s="1"/>
  <c r="K469" i="1"/>
  <c r="M470" i="1" l="1"/>
  <c r="K470" i="1"/>
  <c r="J470" i="1"/>
  <c r="N470" i="1"/>
  <c r="I471" i="1" s="1"/>
  <c r="L469" i="1"/>
  <c r="L470" i="1" l="1"/>
  <c r="N471" i="1"/>
  <c r="K471" i="1"/>
  <c r="M471" i="1"/>
  <c r="I472" i="1" s="1"/>
  <c r="J471" i="1"/>
  <c r="L471" i="1" l="1"/>
  <c r="N472" i="1"/>
  <c r="K472" i="1"/>
  <c r="M472" i="1"/>
  <c r="J472" i="1"/>
  <c r="L472" i="1" l="1"/>
  <c r="I473" i="1"/>
  <c r="J473" i="1" s="1"/>
  <c r="M473" i="1" l="1"/>
  <c r="N473" i="1"/>
  <c r="I474" i="1" s="1"/>
  <c r="J474" i="1" s="1"/>
  <c r="K473" i="1"/>
  <c r="L473" i="1" s="1"/>
  <c r="N474" i="1" l="1"/>
  <c r="K474" i="1"/>
  <c r="L474" i="1" s="1"/>
  <c r="M474" i="1"/>
  <c r="I475" i="1" l="1"/>
  <c r="M475" i="1" s="1"/>
  <c r="N475" i="1" l="1"/>
  <c r="I476" i="1" s="1"/>
  <c r="J476" i="1" s="1"/>
  <c r="J475" i="1"/>
  <c r="K475" i="1"/>
  <c r="N476" i="1"/>
  <c r="K476" i="1"/>
  <c r="L476" i="1" s="1"/>
  <c r="M476" i="1"/>
  <c r="L475" i="1" l="1"/>
  <c r="I477" i="1"/>
  <c r="M477" i="1" s="1"/>
  <c r="K477" i="1" l="1"/>
  <c r="N477" i="1"/>
  <c r="I478" i="1" s="1"/>
  <c r="J478" i="1" s="1"/>
  <c r="J477" i="1"/>
  <c r="L477" i="1" s="1"/>
  <c r="K478" i="1" l="1"/>
  <c r="N478" i="1"/>
  <c r="M478" i="1"/>
  <c r="L478" i="1"/>
  <c r="I479" i="1" l="1"/>
  <c r="K479" i="1" l="1"/>
  <c r="N479" i="1"/>
  <c r="J479" i="1"/>
  <c r="L479" i="1" s="1"/>
  <c r="M479" i="1"/>
  <c r="I480" i="1" l="1"/>
  <c r="N480" i="1" l="1"/>
  <c r="M480" i="1"/>
  <c r="J480" i="1"/>
  <c r="K480" i="1"/>
  <c r="L480" i="1" s="1"/>
  <c r="I481" i="1" l="1"/>
  <c r="K481" i="1" s="1"/>
  <c r="M481" i="1"/>
  <c r="N481" i="1"/>
  <c r="I482" i="1" s="1"/>
  <c r="J481" i="1" l="1"/>
  <c r="J482" i="1"/>
  <c r="K482" i="1"/>
  <c r="N482" i="1"/>
  <c r="M482" i="1"/>
  <c r="L481" i="1"/>
  <c r="I483" i="1" l="1"/>
  <c r="N483" i="1" s="1"/>
  <c r="I484" i="1" s="1"/>
  <c r="J483" i="1"/>
  <c r="M483" i="1"/>
  <c r="L482" i="1"/>
  <c r="K483" i="1" l="1"/>
  <c r="L483" i="1"/>
  <c r="M484" i="1"/>
  <c r="K484" i="1"/>
  <c r="J484" i="1"/>
  <c r="N484" i="1"/>
  <c r="L484" i="1" l="1"/>
  <c r="I485" i="1"/>
  <c r="J485" i="1" l="1"/>
  <c r="K485" i="1"/>
  <c r="N485" i="1"/>
  <c r="I486" i="1" s="1"/>
  <c r="M485" i="1"/>
  <c r="M486" i="1" l="1"/>
  <c r="K486" i="1"/>
  <c r="N486" i="1"/>
  <c r="I487" i="1" s="1"/>
  <c r="J486" i="1"/>
  <c r="L485" i="1"/>
  <c r="L486" i="1" l="1"/>
  <c r="K487" i="1"/>
  <c r="M487" i="1"/>
  <c r="N487" i="1"/>
  <c r="I488" i="1" s="1"/>
  <c r="J487" i="1"/>
  <c r="L487" i="1" s="1"/>
  <c r="M488" i="1" l="1"/>
  <c r="J488" i="1"/>
  <c r="L488" i="1" s="1"/>
  <c r="K488" i="1"/>
  <c r="N488" i="1"/>
  <c r="I489" i="1" l="1"/>
  <c r="M489" i="1" s="1"/>
  <c r="K489" i="1" l="1"/>
  <c r="J489" i="1"/>
  <c r="N489" i="1"/>
  <c r="I490" i="1" s="1"/>
  <c r="L489" i="1"/>
  <c r="M490" i="1"/>
  <c r="K490" i="1"/>
  <c r="N490" i="1"/>
  <c r="I491" i="1" s="1"/>
  <c r="J490" i="1"/>
  <c r="L490" i="1" l="1"/>
  <c r="J491" i="1"/>
  <c r="N491" i="1"/>
  <c r="K491" i="1"/>
  <c r="L491" i="1" s="1"/>
  <c r="M491" i="1"/>
  <c r="I492" i="1" l="1"/>
  <c r="M492" i="1" s="1"/>
  <c r="K492" i="1" l="1"/>
  <c r="J492" i="1"/>
  <c r="N492" i="1"/>
  <c r="I493" i="1" s="1"/>
  <c r="J493" i="1" s="1"/>
  <c r="M493" i="1" l="1"/>
  <c r="N493" i="1"/>
  <c r="I494" i="1" s="1"/>
  <c r="K493" i="1"/>
  <c r="L492" i="1"/>
  <c r="L493" i="1"/>
  <c r="N494" i="1" l="1"/>
  <c r="K494" i="1"/>
  <c r="M494" i="1"/>
  <c r="J494" i="1"/>
  <c r="I495" i="1" l="1"/>
  <c r="L494" i="1"/>
  <c r="M495" i="1"/>
  <c r="N495" i="1"/>
  <c r="I496" i="1" s="1"/>
  <c r="K495" i="1"/>
  <c r="J495" i="1"/>
  <c r="J496" i="1" l="1"/>
  <c r="N496" i="1"/>
  <c r="I497" i="1" s="1"/>
  <c r="M496" i="1"/>
  <c r="K496" i="1"/>
  <c r="L495" i="1"/>
  <c r="M497" i="1" l="1"/>
  <c r="N497" i="1"/>
  <c r="I498" i="1" s="1"/>
  <c r="K497" i="1"/>
  <c r="J497" i="1"/>
  <c r="L497" i="1" s="1"/>
  <c r="L496" i="1"/>
  <c r="J498" i="1" l="1"/>
  <c r="N498" i="1"/>
  <c r="I499" i="1" s="1"/>
  <c r="K498" i="1"/>
  <c r="M498" i="1"/>
  <c r="L498" i="1" l="1"/>
  <c r="K499" i="1"/>
  <c r="J499" i="1"/>
  <c r="L499" i="1" s="1"/>
  <c r="N499" i="1"/>
  <c r="I500" i="1" s="1"/>
  <c r="M499" i="1"/>
  <c r="K500" i="1" l="1"/>
  <c r="N500" i="1"/>
  <c r="J500" i="1"/>
  <c r="L500" i="1" s="1"/>
  <c r="M500" i="1"/>
  <c r="I501" i="1" l="1"/>
  <c r="M501" i="1" s="1"/>
  <c r="K501" i="1" l="1"/>
  <c r="N501" i="1"/>
  <c r="I502" i="1" s="1"/>
  <c r="M502" i="1" s="1"/>
  <c r="J501" i="1"/>
  <c r="L501" i="1" s="1"/>
  <c r="N502" i="1" l="1"/>
  <c r="K502" i="1"/>
  <c r="I503" i="1"/>
  <c r="N503" i="1" s="1"/>
  <c r="I504" i="1" s="1"/>
  <c r="J502" i="1"/>
  <c r="L502" i="1" s="1"/>
  <c r="M503" i="1"/>
  <c r="J503" i="1"/>
  <c r="K503" i="1" l="1"/>
  <c r="L503" i="1"/>
  <c r="M504" i="1"/>
  <c r="J504" i="1"/>
  <c r="K504" i="1"/>
  <c r="N504" i="1"/>
  <c r="I505" i="1" s="1"/>
  <c r="N505" i="1" s="1"/>
  <c r="L504" i="1" l="1"/>
  <c r="M505" i="1"/>
  <c r="I506" i="1" s="1"/>
  <c r="M506" i="1" s="1"/>
  <c r="K505" i="1"/>
  <c r="J505" i="1"/>
  <c r="L505" i="1" s="1"/>
  <c r="J506" i="1"/>
  <c r="N506" i="1"/>
  <c r="I507" i="1" s="1"/>
  <c r="N507" i="1" s="1"/>
  <c r="K506" i="1" l="1"/>
  <c r="L506" i="1" s="1"/>
  <c r="M507" i="1"/>
  <c r="I508" i="1" s="1"/>
  <c r="K507" i="1"/>
  <c r="J507" i="1"/>
  <c r="N508" i="1" l="1"/>
  <c r="M508" i="1"/>
  <c r="I509" i="1" s="1"/>
  <c r="N509" i="1" s="1"/>
  <c r="J508" i="1"/>
  <c r="K508" i="1"/>
  <c r="L507" i="1"/>
  <c r="L508" i="1"/>
  <c r="K509" i="1" l="1"/>
  <c r="M509" i="1"/>
  <c r="I510" i="1" s="1"/>
  <c r="N510" i="1" s="1"/>
  <c r="J509" i="1"/>
  <c r="L509" i="1" s="1"/>
  <c r="J510" i="1" l="1"/>
  <c r="K510" i="1"/>
  <c r="L510" i="1" s="1"/>
  <c r="M510" i="1"/>
  <c r="I511" i="1" s="1"/>
  <c r="M511" i="1" s="1"/>
  <c r="J511" i="1" l="1"/>
  <c r="N511" i="1"/>
  <c r="I512" i="1" s="1"/>
  <c r="J512" i="1" s="1"/>
  <c r="K511" i="1"/>
  <c r="L511" i="1" s="1"/>
  <c r="K512" i="1" l="1"/>
  <c r="N512" i="1"/>
  <c r="M512" i="1"/>
  <c r="L512" i="1"/>
  <c r="I513" i="1" l="1"/>
  <c r="N513" i="1" s="1"/>
  <c r="M513" i="1" l="1"/>
  <c r="I514" i="1" s="1"/>
  <c r="K513" i="1"/>
  <c r="J513" i="1"/>
  <c r="M514" i="1" l="1"/>
  <c r="N514" i="1"/>
  <c r="I515" i="1" s="1"/>
  <c r="J515" i="1" s="1"/>
  <c r="J514" i="1"/>
  <c r="L514" i="1" s="1"/>
  <c r="K514" i="1"/>
  <c r="L513" i="1"/>
  <c r="M515" i="1" l="1"/>
  <c r="N515" i="1"/>
  <c r="K515" i="1"/>
  <c r="L515" i="1" s="1"/>
  <c r="I516" i="1" l="1"/>
  <c r="N516" i="1" l="1"/>
  <c r="K516" i="1"/>
  <c r="M516" i="1"/>
  <c r="I517" i="1" s="1"/>
  <c r="J516" i="1"/>
  <c r="L516" i="1" s="1"/>
  <c r="K517" i="1" l="1"/>
  <c r="M517" i="1"/>
  <c r="J517" i="1"/>
  <c r="L517" i="1" s="1"/>
  <c r="N517" i="1"/>
  <c r="I518" i="1" s="1"/>
  <c r="N518" i="1" l="1"/>
  <c r="K518" i="1"/>
  <c r="J518" i="1"/>
  <c r="M518" i="1"/>
  <c r="I519" i="1" s="1"/>
  <c r="K519" i="1" l="1"/>
  <c r="M519" i="1"/>
  <c r="J519" i="1"/>
  <c r="L519" i="1" s="1"/>
  <c r="N519" i="1"/>
  <c r="I520" i="1" s="1"/>
  <c r="K520" i="1" s="1"/>
  <c r="L518" i="1"/>
  <c r="J520" i="1" l="1"/>
  <c r="M520" i="1"/>
  <c r="N520" i="1"/>
  <c r="I521" i="1" s="1"/>
  <c r="L520" i="1"/>
  <c r="N521" i="1" l="1"/>
  <c r="M521" i="1"/>
  <c r="J521" i="1"/>
  <c r="K521" i="1"/>
  <c r="I522" i="1" l="1"/>
  <c r="J522" i="1" s="1"/>
  <c r="L521" i="1"/>
  <c r="K522" i="1" l="1"/>
  <c r="L522" i="1" s="1"/>
  <c r="M522" i="1"/>
  <c r="N522" i="1"/>
  <c r="I523" i="1" l="1"/>
  <c r="N523" i="1" s="1"/>
  <c r="K523" i="1" l="1"/>
  <c r="J523" i="1"/>
  <c r="L523" i="1" s="1"/>
  <c r="M523" i="1"/>
  <c r="I524" i="1" s="1"/>
  <c r="N524" i="1" l="1"/>
  <c r="M524" i="1"/>
  <c r="K524" i="1"/>
  <c r="J524" i="1"/>
  <c r="L524" i="1" l="1"/>
  <c r="I525" i="1"/>
  <c r="N525" i="1" l="1"/>
  <c r="M525" i="1"/>
  <c r="K525" i="1"/>
  <c r="J525" i="1"/>
  <c r="L525" i="1" l="1"/>
  <c r="I526" i="1"/>
  <c r="N526" i="1" l="1"/>
  <c r="M526" i="1"/>
  <c r="K526" i="1"/>
  <c r="J526" i="1"/>
  <c r="I527" i="1" l="1"/>
  <c r="N527" i="1" s="1"/>
  <c r="L526" i="1"/>
  <c r="J527" i="1" l="1"/>
  <c r="K527" i="1"/>
  <c r="M527" i="1"/>
  <c r="I528" i="1" s="1"/>
  <c r="L527" i="1" l="1"/>
  <c r="N528" i="1"/>
  <c r="M528" i="1"/>
  <c r="K528" i="1"/>
  <c r="J528" i="1"/>
  <c r="L528" i="1" l="1"/>
  <c r="I529" i="1"/>
  <c r="N529" i="1" l="1"/>
  <c r="M529" i="1"/>
  <c r="K529" i="1"/>
  <c r="J529" i="1"/>
  <c r="I530" i="1" l="1"/>
  <c r="M530" i="1" s="1"/>
  <c r="L529" i="1"/>
  <c r="N530" i="1" l="1"/>
  <c r="I531" i="1" s="1"/>
  <c r="J530" i="1"/>
  <c r="K530" i="1"/>
  <c r="L530" i="1" s="1"/>
  <c r="N531" i="1" l="1"/>
  <c r="M531" i="1"/>
  <c r="J531" i="1"/>
  <c r="K531" i="1"/>
  <c r="I532" i="1" l="1"/>
  <c r="M532" i="1" s="1"/>
  <c r="L531" i="1"/>
  <c r="J532" i="1" l="1"/>
  <c r="N532" i="1"/>
  <c r="I533" i="1" s="1"/>
  <c r="K532" i="1"/>
  <c r="L532" i="1" l="1"/>
  <c r="N533" i="1"/>
  <c r="M533" i="1"/>
  <c r="J533" i="1"/>
  <c r="K533" i="1"/>
  <c r="L533" i="1" l="1"/>
  <c r="I534" i="1"/>
  <c r="N534" i="1" l="1"/>
  <c r="M534" i="1"/>
  <c r="K534" i="1"/>
  <c r="J534" i="1"/>
  <c r="L534" i="1" l="1"/>
  <c r="I535" i="1"/>
  <c r="N535" i="1" l="1"/>
  <c r="M535" i="1"/>
  <c r="K535" i="1"/>
  <c r="J535" i="1"/>
  <c r="I536" i="1" l="1"/>
  <c r="N536" i="1" s="1"/>
  <c r="L535" i="1"/>
  <c r="K536" i="1" l="1"/>
  <c r="J536" i="1"/>
  <c r="M536" i="1"/>
  <c r="I537" i="1" s="1"/>
  <c r="L536" i="1" l="1"/>
  <c r="N537" i="1"/>
  <c r="M537" i="1"/>
  <c r="K537" i="1"/>
  <c r="J537" i="1"/>
  <c r="L537" i="1" l="1"/>
  <c r="I538" i="1"/>
  <c r="N538" i="1" l="1"/>
  <c r="M538" i="1"/>
  <c r="K538" i="1"/>
  <c r="J538" i="1"/>
  <c r="L538" i="1" l="1"/>
  <c r="I539" i="1"/>
  <c r="N539" i="1" s="1"/>
  <c r="J539" i="1" l="1"/>
  <c r="K539" i="1"/>
  <c r="M539" i="1"/>
  <c r="I540" i="1" s="1"/>
  <c r="L539" i="1" l="1"/>
  <c r="N540" i="1"/>
  <c r="M540" i="1"/>
  <c r="K540" i="1"/>
  <c r="J540" i="1"/>
  <c r="I541" i="1" l="1"/>
  <c r="N541" i="1" s="1"/>
  <c r="L540" i="1"/>
  <c r="K541" i="1" l="1"/>
  <c r="J541" i="1"/>
  <c r="M541" i="1"/>
  <c r="I542" i="1" s="1"/>
  <c r="L541" i="1" l="1"/>
  <c r="N542" i="1"/>
  <c r="M542" i="1"/>
  <c r="K542" i="1"/>
  <c r="J542" i="1"/>
  <c r="L542" i="1" l="1"/>
  <c r="I543" i="1"/>
  <c r="N543" i="1" l="1"/>
  <c r="M543" i="1"/>
  <c r="J543" i="1"/>
  <c r="K543" i="1"/>
  <c r="L543" i="1" l="1"/>
  <c r="I544" i="1"/>
  <c r="N544" i="1" l="1"/>
  <c r="M544" i="1"/>
  <c r="J544" i="1"/>
  <c r="K544" i="1"/>
  <c r="I545" i="1" l="1"/>
  <c r="N545" i="1" s="1"/>
  <c r="L544" i="1"/>
  <c r="J545" i="1" l="1"/>
  <c r="K545" i="1"/>
  <c r="M545" i="1"/>
  <c r="I546" i="1" s="1"/>
  <c r="N546" i="1" s="1"/>
  <c r="L545" i="1" l="1"/>
  <c r="K546" i="1"/>
  <c r="M546" i="1"/>
  <c r="I547" i="1" s="1"/>
  <c r="J546" i="1"/>
  <c r="L546" i="1" l="1"/>
  <c r="N547" i="1"/>
  <c r="M547" i="1"/>
  <c r="K547" i="1"/>
  <c r="J547" i="1"/>
  <c r="I548" i="1" l="1"/>
  <c r="M548" i="1" s="1"/>
  <c r="L547" i="1"/>
  <c r="N548" i="1" l="1"/>
  <c r="I549" i="1" s="1"/>
  <c r="N549" i="1" s="1"/>
  <c r="J548" i="1"/>
  <c r="K548" i="1"/>
  <c r="L548" i="1" l="1"/>
  <c r="M549" i="1"/>
  <c r="I550" i="1" s="1"/>
  <c r="K549" i="1"/>
  <c r="J549" i="1"/>
  <c r="L549" i="1" s="1"/>
  <c r="K550" i="1" l="1"/>
  <c r="M550" i="1"/>
  <c r="J550" i="1"/>
  <c r="N550" i="1"/>
  <c r="I551" i="1" l="1"/>
  <c r="N551" i="1" s="1"/>
  <c r="L550" i="1"/>
  <c r="K551" i="1" l="1"/>
  <c r="J551" i="1"/>
  <c r="M551" i="1"/>
  <c r="I552" i="1" s="1"/>
  <c r="L551" i="1"/>
  <c r="N552" i="1" l="1"/>
  <c r="I553" i="1" s="1"/>
  <c r="M552" i="1"/>
  <c r="K552" i="1"/>
  <c r="J552" i="1"/>
  <c r="L552" i="1" l="1"/>
  <c r="N553" i="1"/>
  <c r="M553" i="1"/>
  <c r="K553" i="1"/>
  <c r="J553" i="1"/>
  <c r="I554" i="1" l="1"/>
  <c r="N554" i="1" s="1"/>
  <c r="L553" i="1"/>
  <c r="J554" i="1" l="1"/>
  <c r="K554" i="1"/>
  <c r="L554" i="1" s="1"/>
  <c r="M554" i="1"/>
  <c r="I555" i="1"/>
  <c r="N555" i="1" l="1"/>
  <c r="M555" i="1"/>
  <c r="J555" i="1"/>
  <c r="K555" i="1"/>
  <c r="L555" i="1" l="1"/>
  <c r="I556" i="1"/>
  <c r="N556" i="1" l="1"/>
  <c r="M556" i="1"/>
  <c r="K556" i="1"/>
  <c r="J556" i="1"/>
  <c r="I557" i="1" l="1"/>
  <c r="M557" i="1" s="1"/>
  <c r="L556" i="1"/>
  <c r="N557" i="1" l="1"/>
  <c r="I558" i="1" s="1"/>
  <c r="J557" i="1"/>
  <c r="K557" i="1"/>
  <c r="L557" i="1" l="1"/>
  <c r="N558" i="1"/>
  <c r="M558" i="1"/>
  <c r="J558" i="1"/>
  <c r="K558" i="1"/>
  <c r="L558" i="1" l="1"/>
  <c r="I559" i="1"/>
  <c r="N559" i="1" s="1"/>
  <c r="J559" i="1" l="1"/>
  <c r="M559" i="1"/>
  <c r="I560" i="1" s="1"/>
  <c r="K559" i="1"/>
  <c r="L559" i="1" l="1"/>
  <c r="N560" i="1"/>
  <c r="M560" i="1"/>
  <c r="K560" i="1"/>
  <c r="J560" i="1"/>
  <c r="L560" i="1" l="1"/>
  <c r="I561" i="1"/>
  <c r="M561" i="1" s="1"/>
  <c r="J561" i="1" l="1"/>
  <c r="K561" i="1"/>
  <c r="N561" i="1"/>
  <c r="I562" i="1" s="1"/>
  <c r="M562" i="1" s="1"/>
  <c r="L561" i="1" l="1"/>
  <c r="N562" i="1"/>
  <c r="I563" i="1" s="1"/>
  <c r="K562" i="1"/>
  <c r="J562" i="1"/>
  <c r="L562" i="1" l="1"/>
  <c r="N563" i="1"/>
  <c r="M563" i="1"/>
  <c r="J563" i="1"/>
  <c r="K563" i="1"/>
  <c r="L563" i="1" l="1"/>
  <c r="I564" i="1"/>
  <c r="N564" i="1" l="1"/>
  <c r="M564" i="1"/>
  <c r="K564" i="1"/>
  <c r="J564" i="1"/>
  <c r="L564" i="1" l="1"/>
  <c r="I565" i="1"/>
  <c r="N565" i="1" l="1"/>
  <c r="M565" i="1"/>
  <c r="K565" i="1"/>
  <c r="J565" i="1"/>
  <c r="L565" i="1" l="1"/>
  <c r="I566" i="1"/>
  <c r="N566" i="1" l="1"/>
  <c r="M566" i="1"/>
  <c r="J566" i="1"/>
  <c r="K566" i="1"/>
  <c r="L566" i="1" l="1"/>
  <c r="I567" i="1"/>
  <c r="N567" i="1" s="1"/>
  <c r="K567" i="1" l="1"/>
  <c r="J567" i="1"/>
  <c r="M567" i="1"/>
  <c r="I568" i="1" s="1"/>
  <c r="L567" i="1" l="1"/>
  <c r="N568" i="1"/>
  <c r="M568" i="1"/>
  <c r="J568" i="1"/>
  <c r="K568" i="1"/>
  <c r="L568" i="1" l="1"/>
  <c r="I569" i="1"/>
  <c r="N569" i="1" l="1"/>
  <c r="M569" i="1"/>
  <c r="J569" i="1"/>
  <c r="K569" i="1"/>
  <c r="L569" i="1" l="1"/>
  <c r="I570" i="1"/>
  <c r="N570" i="1" l="1"/>
  <c r="M570" i="1"/>
  <c r="K570" i="1"/>
  <c r="J570" i="1"/>
  <c r="L570" i="1" l="1"/>
  <c r="I571" i="1"/>
  <c r="N571" i="1" s="1"/>
  <c r="K571" i="1" l="1"/>
  <c r="J571" i="1"/>
  <c r="M571" i="1"/>
  <c r="I572" i="1" s="1"/>
  <c r="L571" i="1" l="1"/>
  <c r="N572" i="1"/>
  <c r="M572" i="1"/>
  <c r="K572" i="1"/>
  <c r="J572" i="1"/>
  <c r="L572" i="1" l="1"/>
  <c r="I573" i="1"/>
  <c r="N573" i="1" l="1"/>
  <c r="M573" i="1"/>
  <c r="K573" i="1"/>
  <c r="J573" i="1"/>
  <c r="L573" i="1" l="1"/>
  <c r="I574" i="1"/>
  <c r="N574" i="1" l="1"/>
  <c r="M574" i="1"/>
  <c r="K574" i="1"/>
  <c r="J574" i="1"/>
  <c r="I575" i="1" l="1"/>
  <c r="M575" i="1" s="1"/>
  <c r="L574" i="1"/>
  <c r="J575" i="1" l="1"/>
  <c r="N575" i="1"/>
  <c r="K575" i="1"/>
  <c r="I576" i="1"/>
  <c r="L575" i="1" l="1"/>
  <c r="N576" i="1"/>
  <c r="M576" i="1"/>
  <c r="K576" i="1"/>
  <c r="J576" i="1"/>
  <c r="L576" i="1" l="1"/>
  <c r="I577" i="1"/>
  <c r="N577" i="1" l="1"/>
  <c r="M577" i="1"/>
  <c r="K577" i="1"/>
  <c r="J577" i="1"/>
  <c r="I578" i="1" l="1"/>
  <c r="N578" i="1" s="1"/>
  <c r="L577" i="1"/>
  <c r="J578" i="1" l="1"/>
  <c r="K578" i="1"/>
  <c r="M578" i="1"/>
  <c r="I579" i="1" s="1"/>
  <c r="L578" i="1" l="1"/>
  <c r="N579" i="1"/>
  <c r="M579" i="1"/>
  <c r="J579" i="1"/>
  <c r="K579" i="1"/>
  <c r="I580" i="1" l="1"/>
  <c r="M580" i="1" s="1"/>
  <c r="L579" i="1"/>
  <c r="K580" i="1" l="1"/>
  <c r="N580" i="1"/>
  <c r="I581" i="1" s="1"/>
  <c r="J580" i="1"/>
  <c r="L580" i="1" l="1"/>
  <c r="N581" i="1"/>
  <c r="M581" i="1"/>
  <c r="K581" i="1"/>
  <c r="J581" i="1"/>
  <c r="L581" i="1" l="1"/>
  <c r="I582" i="1"/>
  <c r="N582" i="1" l="1"/>
  <c r="M582" i="1"/>
  <c r="K582" i="1"/>
  <c r="J582" i="1"/>
  <c r="L582" i="1" l="1"/>
  <c r="I583" i="1"/>
  <c r="N583" i="1" l="1"/>
  <c r="M583" i="1"/>
  <c r="J583" i="1"/>
  <c r="K583" i="1"/>
  <c r="L583" i="1" l="1"/>
  <c r="I584" i="1"/>
  <c r="N584" i="1" l="1"/>
  <c r="M584" i="1"/>
  <c r="J584" i="1"/>
  <c r="K584" i="1"/>
  <c r="L584" i="1" l="1"/>
  <c r="I585" i="1"/>
  <c r="N585" i="1" l="1"/>
  <c r="M585" i="1"/>
  <c r="J585" i="1"/>
  <c r="K585" i="1"/>
  <c r="L585" i="1" l="1"/>
  <c r="I586" i="1"/>
  <c r="N586" i="1" l="1"/>
  <c r="M586" i="1"/>
  <c r="K586" i="1"/>
  <c r="J586" i="1"/>
  <c r="L586" i="1" l="1"/>
  <c r="I587" i="1"/>
  <c r="N587" i="1" l="1"/>
  <c r="M587" i="1"/>
  <c r="K587" i="1"/>
  <c r="J587" i="1"/>
  <c r="L587" i="1" l="1"/>
  <c r="I588" i="1"/>
  <c r="N588" i="1" l="1"/>
  <c r="M588" i="1"/>
  <c r="J588" i="1"/>
  <c r="K588" i="1"/>
  <c r="L588" i="1" l="1"/>
  <c r="I589" i="1"/>
  <c r="N589" i="1" l="1"/>
  <c r="M589" i="1"/>
  <c r="J589" i="1"/>
  <c r="K589" i="1"/>
  <c r="L589" i="1" l="1"/>
  <c r="I590" i="1"/>
  <c r="N590" i="1" l="1"/>
  <c r="M590" i="1"/>
  <c r="J590" i="1"/>
  <c r="K590" i="1"/>
  <c r="L590" i="1" l="1"/>
  <c r="I591" i="1"/>
  <c r="N591" i="1" l="1"/>
  <c r="I592" i="1" s="1"/>
  <c r="M591" i="1"/>
  <c r="K591" i="1"/>
  <c r="J591" i="1"/>
  <c r="L591" i="1" l="1"/>
  <c r="N592" i="1"/>
  <c r="M592" i="1"/>
  <c r="J592" i="1"/>
  <c r="K592" i="1"/>
  <c r="L592" i="1" l="1"/>
  <c r="I593" i="1"/>
  <c r="N593" i="1" l="1"/>
  <c r="M593" i="1"/>
  <c r="K593" i="1"/>
  <c r="J593" i="1"/>
  <c r="L593" i="1" l="1"/>
  <c r="I594" i="1"/>
  <c r="N594" i="1" l="1"/>
  <c r="M594" i="1"/>
  <c r="K594" i="1"/>
  <c r="J594" i="1"/>
  <c r="L594" i="1" l="1"/>
  <c r="I595" i="1"/>
  <c r="N595" i="1" l="1"/>
  <c r="M595" i="1"/>
  <c r="K595" i="1"/>
  <c r="J595" i="1"/>
  <c r="L595" i="1" l="1"/>
  <c r="I596" i="1"/>
  <c r="N596" i="1" l="1"/>
  <c r="M596" i="1"/>
  <c r="J596" i="1"/>
  <c r="K596" i="1"/>
  <c r="L596" i="1" l="1"/>
  <c r="I597" i="1"/>
  <c r="N597" i="1" l="1"/>
  <c r="M597" i="1"/>
  <c r="J597" i="1"/>
  <c r="K597" i="1"/>
  <c r="L597" i="1" l="1"/>
  <c r="I598" i="1"/>
  <c r="N598" i="1" l="1"/>
  <c r="M598" i="1"/>
  <c r="J598" i="1"/>
  <c r="K598" i="1"/>
  <c r="L598" i="1" l="1"/>
  <c r="I599" i="1"/>
  <c r="N599" i="1" l="1"/>
  <c r="M599" i="1"/>
  <c r="K599" i="1"/>
  <c r="J599" i="1"/>
  <c r="L599" i="1" l="1"/>
  <c r="I600" i="1"/>
  <c r="N600" i="1" l="1"/>
  <c r="M600" i="1"/>
  <c r="J600" i="1"/>
  <c r="K600" i="1"/>
  <c r="L600" i="1" l="1"/>
  <c r="I601" i="1"/>
  <c r="J601" i="1" l="1"/>
  <c r="M601" i="1"/>
  <c r="K601" i="1"/>
  <c r="N601" i="1"/>
  <c r="I602" i="1" l="1"/>
  <c r="M602" i="1" s="1"/>
  <c r="L601" i="1"/>
  <c r="J602" i="1" l="1"/>
  <c r="K602" i="1"/>
  <c r="L602" i="1" s="1"/>
  <c r="N602" i="1"/>
  <c r="I603" i="1" s="1"/>
  <c r="N603" i="1" l="1"/>
  <c r="M603" i="1"/>
  <c r="J603" i="1"/>
  <c r="K603" i="1"/>
  <c r="I604" i="1" l="1"/>
  <c r="M604" i="1" s="1"/>
  <c r="L603" i="1"/>
  <c r="K604" i="1" l="1"/>
  <c r="J604" i="1"/>
  <c r="L604" i="1" s="1"/>
  <c r="N604" i="1"/>
  <c r="I605" i="1" s="1"/>
  <c r="K605" i="1" s="1"/>
  <c r="J605" i="1" l="1"/>
  <c r="M605" i="1"/>
  <c r="N605" i="1"/>
  <c r="L605" i="1"/>
  <c r="I606" i="1" l="1"/>
  <c r="N606" i="1" s="1"/>
  <c r="M606" i="1" l="1"/>
  <c r="I607" i="1" s="1"/>
  <c r="J606" i="1"/>
  <c r="K606" i="1"/>
  <c r="K607" i="1" l="1"/>
  <c r="M607" i="1"/>
  <c r="N607" i="1"/>
  <c r="I608" i="1" s="1"/>
  <c r="J607" i="1"/>
  <c r="L607" i="1" s="1"/>
  <c r="L606" i="1"/>
  <c r="N608" i="1" l="1"/>
  <c r="M608" i="1"/>
  <c r="K608" i="1"/>
  <c r="J608" i="1"/>
  <c r="L608" i="1" l="1"/>
  <c r="I609" i="1"/>
  <c r="N609" i="1" l="1"/>
  <c r="M609" i="1"/>
  <c r="K609" i="1"/>
  <c r="J609" i="1"/>
  <c r="L609" i="1" l="1"/>
  <c r="I610" i="1"/>
  <c r="N610" i="1" l="1"/>
  <c r="M610" i="1"/>
  <c r="K610" i="1"/>
  <c r="J610" i="1"/>
  <c r="L610" i="1" l="1"/>
  <c r="I611" i="1"/>
  <c r="N611" i="1" l="1"/>
  <c r="M611" i="1"/>
  <c r="K611" i="1"/>
  <c r="J611" i="1"/>
  <c r="I612" i="1" l="1"/>
  <c r="J612" i="1" s="1"/>
  <c r="L611" i="1"/>
  <c r="K612" i="1" l="1"/>
  <c r="M612" i="1"/>
  <c r="N612" i="1"/>
  <c r="I613" i="1" s="1"/>
  <c r="M613" i="1" s="1"/>
  <c r="L612" i="1"/>
  <c r="K613" i="1" l="1"/>
  <c r="N613" i="1"/>
  <c r="I614" i="1" s="1"/>
  <c r="M614" i="1" s="1"/>
  <c r="J613" i="1"/>
  <c r="L613" i="1" l="1"/>
  <c r="N614" i="1"/>
  <c r="I615" i="1" s="1"/>
  <c r="J614" i="1"/>
  <c r="K614" i="1"/>
  <c r="L614" i="1" l="1"/>
  <c r="N615" i="1"/>
  <c r="M615" i="1"/>
  <c r="K615" i="1"/>
  <c r="J615" i="1"/>
  <c r="L615" i="1" l="1"/>
  <c r="I616" i="1"/>
  <c r="N616" i="1" l="1"/>
  <c r="M616" i="1"/>
  <c r="J616" i="1"/>
  <c r="K616" i="1"/>
  <c r="L616" i="1" l="1"/>
  <c r="I617" i="1"/>
  <c r="N617" i="1" l="1"/>
  <c r="M617" i="1"/>
  <c r="K617" i="1"/>
  <c r="J617" i="1"/>
  <c r="L617" i="1" l="1"/>
  <c r="I618" i="1"/>
  <c r="N618" i="1" s="1"/>
  <c r="J618" i="1" l="1"/>
  <c r="K618" i="1"/>
  <c r="M618" i="1"/>
  <c r="I619" i="1" s="1"/>
  <c r="L618" i="1" l="1"/>
  <c r="N619" i="1"/>
  <c r="M619" i="1"/>
  <c r="K619" i="1"/>
  <c r="J619" i="1"/>
  <c r="L619" i="1" l="1"/>
  <c r="I620" i="1"/>
  <c r="J620" i="1" l="1"/>
  <c r="M620" i="1"/>
  <c r="K620" i="1"/>
  <c r="N620" i="1"/>
  <c r="I621" i="1" l="1"/>
  <c r="N621" i="1" s="1"/>
  <c r="L620" i="1"/>
  <c r="K621" i="1" l="1"/>
  <c r="J621" i="1"/>
  <c r="L621" i="1" s="1"/>
  <c r="M621" i="1"/>
  <c r="I622" i="1"/>
  <c r="N622" i="1" l="1"/>
  <c r="M622" i="1"/>
  <c r="J622" i="1"/>
  <c r="K622" i="1"/>
  <c r="I623" i="1" l="1"/>
  <c r="M623" i="1" s="1"/>
  <c r="L622" i="1"/>
  <c r="J623" i="1" l="1"/>
  <c r="K623" i="1"/>
  <c r="N623" i="1"/>
  <c r="I624" i="1" s="1"/>
  <c r="N624" i="1" s="1"/>
  <c r="L623" i="1" l="1"/>
  <c r="J624" i="1"/>
  <c r="K624" i="1"/>
  <c r="M624" i="1"/>
  <c r="I625" i="1" s="1"/>
  <c r="L624" i="1" l="1"/>
  <c r="N625" i="1"/>
  <c r="M625" i="1"/>
  <c r="K625" i="1"/>
  <c r="J625" i="1"/>
  <c r="L625" i="1" l="1"/>
  <c r="I626" i="1"/>
  <c r="N626" i="1" l="1"/>
  <c r="M626" i="1"/>
  <c r="K626" i="1"/>
  <c r="J626" i="1"/>
  <c r="L626" i="1" l="1"/>
  <c r="I627" i="1"/>
  <c r="N627" i="1" l="1"/>
  <c r="M627" i="1"/>
  <c r="K627" i="1"/>
  <c r="J627" i="1"/>
  <c r="L627" i="1" l="1"/>
  <c r="I628" i="1"/>
  <c r="N628" i="1" l="1"/>
  <c r="M628" i="1"/>
  <c r="J628" i="1"/>
  <c r="K628" i="1"/>
  <c r="L628" i="1" l="1"/>
  <c r="I629" i="1"/>
  <c r="N629" i="1" l="1"/>
  <c r="M629" i="1"/>
  <c r="J629" i="1"/>
  <c r="K629" i="1"/>
  <c r="L629" i="1" l="1"/>
  <c r="I630" i="1"/>
  <c r="N630" i="1" l="1"/>
  <c r="M630" i="1"/>
  <c r="K630" i="1"/>
  <c r="J630" i="1"/>
  <c r="I631" i="1" l="1"/>
  <c r="M631" i="1" s="1"/>
  <c r="L630" i="1"/>
  <c r="J631" i="1" l="1"/>
  <c r="N631" i="1"/>
  <c r="I632" i="1" s="1"/>
  <c r="K631" i="1"/>
  <c r="L631" i="1" s="1"/>
  <c r="N632" i="1" l="1"/>
  <c r="M632" i="1"/>
  <c r="K632" i="1"/>
  <c r="J632" i="1"/>
  <c r="L632" i="1" l="1"/>
  <c r="I633" i="1"/>
  <c r="N633" i="1" l="1"/>
  <c r="M633" i="1"/>
  <c r="J633" i="1"/>
  <c r="K633" i="1"/>
  <c r="I634" i="1" l="1"/>
  <c r="N634" i="1" s="1"/>
  <c r="L633" i="1"/>
  <c r="M634" i="1" l="1"/>
  <c r="J634" i="1"/>
  <c r="K634" i="1"/>
  <c r="I635" i="1"/>
  <c r="N635" i="1" s="1"/>
  <c r="L634" i="1"/>
  <c r="K635" i="1" l="1"/>
  <c r="J635" i="1"/>
  <c r="L635" i="1" s="1"/>
  <c r="M635" i="1"/>
  <c r="I636" i="1" s="1"/>
  <c r="N636" i="1" l="1"/>
  <c r="M636" i="1"/>
  <c r="J636" i="1"/>
  <c r="K636" i="1"/>
  <c r="L636" i="1" l="1"/>
  <c r="I637" i="1"/>
  <c r="N637" i="1" l="1"/>
  <c r="M637" i="1"/>
  <c r="J637" i="1"/>
  <c r="K637" i="1"/>
  <c r="L637" i="1" l="1"/>
  <c r="I638" i="1"/>
  <c r="N638" i="1" l="1"/>
  <c r="M638" i="1"/>
  <c r="J638" i="1"/>
  <c r="K638" i="1"/>
  <c r="L638" i="1" l="1"/>
  <c r="I639" i="1"/>
  <c r="N639" i="1" l="1"/>
  <c r="M639" i="1"/>
  <c r="K639" i="1"/>
  <c r="J639" i="1"/>
  <c r="L639" i="1" l="1"/>
  <c r="I640" i="1"/>
  <c r="N640" i="1" l="1"/>
  <c r="M640" i="1"/>
  <c r="K640" i="1"/>
  <c r="J640" i="1"/>
  <c r="I641" i="1" l="1"/>
  <c r="N641" i="1" s="1"/>
  <c r="L640" i="1"/>
  <c r="K641" i="1" l="1"/>
  <c r="J641" i="1"/>
  <c r="L641" i="1" s="1"/>
  <c r="M641" i="1"/>
  <c r="I642" i="1"/>
  <c r="N642" i="1" l="1"/>
  <c r="M642" i="1"/>
  <c r="K642" i="1"/>
  <c r="J642" i="1"/>
  <c r="L642" i="1" l="1"/>
  <c r="I643" i="1"/>
  <c r="M643" i="1" s="1"/>
  <c r="J643" i="1" l="1"/>
  <c r="K643" i="1"/>
  <c r="N643" i="1"/>
  <c r="I644" i="1" s="1"/>
  <c r="L643" i="1" l="1"/>
  <c r="N644" i="1"/>
  <c r="M644" i="1"/>
  <c r="K644" i="1"/>
  <c r="J644" i="1"/>
  <c r="L644" i="1" l="1"/>
  <c r="I645" i="1"/>
  <c r="N645" i="1" l="1"/>
  <c r="M645" i="1"/>
  <c r="K645" i="1"/>
  <c r="J645" i="1"/>
  <c r="L645" i="1" l="1"/>
  <c r="I646" i="1"/>
  <c r="N646" i="1" l="1"/>
  <c r="M646" i="1"/>
  <c r="J646" i="1"/>
  <c r="K646" i="1"/>
  <c r="L646" i="1" l="1"/>
  <c r="I647" i="1"/>
  <c r="M647" i="1" s="1"/>
  <c r="N647" i="1" l="1"/>
  <c r="I648" i="1" s="1"/>
  <c r="K647" i="1"/>
  <c r="J647" i="1"/>
  <c r="L647" i="1" l="1"/>
  <c r="N648" i="1"/>
  <c r="M648" i="1"/>
  <c r="J648" i="1"/>
  <c r="K648" i="1"/>
  <c r="L648" i="1" l="1"/>
  <c r="I649" i="1"/>
  <c r="N649" i="1" s="1"/>
  <c r="R13" i="1" s="1" a="1"/>
  <c r="R13" i="1" s="1"/>
  <c r="R8" i="1"/>
  <c r="R9" i="1"/>
  <c r="J649" i="1" l="1"/>
  <c r="M649" i="1"/>
  <c r="R14" i="1" s="1" a="1"/>
  <c r="R14" i="1" s="1"/>
  <c r="K649" i="1"/>
  <c r="R10" i="1"/>
  <c r="S10" i="1" s="1"/>
  <c r="L649" i="1" l="1"/>
  <c r="R11" i="1" s="1"/>
  <c r="S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<sst xmlns="http://schemas.openxmlformats.org/spreadsheetml/2006/main" count="29" uniqueCount="29">
  <si>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date</t>
  </si>
  <si>
    <t>^NDX</t>
  </si>
  <si>
    <t>SensOK</t>
  </si>
  <si>
    <t>Trigger</t>
  </si>
  <si>
    <t>total "sell"</t>
  </si>
  <si>
    <t>total "buy"</t>
  </si>
  <si>
    <t>Ordre</t>
  </si>
  <si>
    <t>Buy nb</t>
  </si>
  <si>
    <t>Sell nb</t>
  </si>
  <si>
    <t>total lines</t>
  </si>
  <si>
    <t>total negative</t>
  </si>
  <si>
    <t>total positive</t>
  </si>
  <si>
    <t>total lines with pred</t>
  </si>
  <si>
    <t>total ordres</t>
  </si>
  <si>
    <t>ordre dans le bon sens</t>
  </si>
  <si>
    <t>seuil trigger high</t>
  </si>
  <si>
    <t>seuil trigger low</t>
  </si>
  <si>
    <t>Natural</t>
  </si>
  <si>
    <t>AmountAction</t>
  </si>
  <si>
    <t>AmountCash</t>
  </si>
  <si>
    <t>Last Natual</t>
  </si>
  <si>
    <t>Last AmountAction</t>
  </si>
  <si>
    <t>Last AmountCash</t>
  </si>
  <si>
    <t>OrdreOk</t>
  </si>
  <si>
    <t>%</t>
  </si>
  <si>
    <t>GC=F</t>
  </si>
  <si>
    <t>AAPL</t>
  </si>
  <si>
    <t>URW.PA</t>
  </si>
  <si>
    <t>URW.PA_PRED_TOMORROW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</si>
</sst>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91F5-4B38-409B-9534-0A008D108222}">
  <dimension ref="A1:T649"/>
  <sheetViews>
    <sheetView tabSelected="1" workbookViewId="0">
      <pane ySplit="1" topLeftCell="A2" activePane="bottomLeft" state="frozen"/>
      <selection pane="bottomLeft" activeCell="L20" sqref="L20"/>
    </sheetView>
  </sheetViews>
  <sheetFormatPr defaultRowHeight="15" x14ac:dyDescent="0.25"/>
  <cols>
    <col min="1" max="1" width="10.42578125" bestFit="1" customWidth="1"/>
    <col min="3" max="3" width="13.28515625" customWidth="1"/>
    <col min="4" max="4" width="13.42578125" customWidth="1"/>
    <col min="5" max="5" width="15" customWidth="1"/>
    <col min="6" max="6" width="22" style="3" customWidth="1"/>
    <col min="7" max="7" width="7" bestFit="1" customWidth="1"/>
    <col min="8" max="8" width="7.7109375" bestFit="1" customWidth="1"/>
    <col min="9" max="9" width="9.42578125" customWidth="1"/>
    <col min="10" max="11" width="6.85546875" bestFit="1" customWidth="1"/>
    <col min="12" max="12" width="8.42578125" bestFit="1" customWidth="1"/>
    <col min="13" max="13" width="12.28515625" bestFit="1" customWidth="1"/>
    <col min="14" max="14" width="13.5703125" bestFit="1" customWidth="1"/>
    <col min="15" max="15" width="12" bestFit="1" customWidth="1"/>
    <col min="16" max="16" width="7.28515625" customWidth="1"/>
    <col min="17" max="17" width="22.140625" customWidth="1"/>
    <col min="18" max="18" width="13" customWidth="1"/>
    <col min="19" max="19" width="9.42578125" bestFit="1" customWidth="1"/>
  </cols>
  <sheetData>
    <row r="1" spans="1:20" x14ac:dyDescent="0.25">
      <c r="A1" t="s">
        <v>0</v>
      </c>
      <c r="B1" t="s">
        <v>25</v>
      </c>
      <c r="C1" t="s">
        <v>1</v>
      </c>
      <c r="D1" t="s">
        <v>26</v>
      </c>
      <c r="E1" t="s">
        <v>27</v>
      </c>
      <c r="F1" s="3" t="s">
        <v>28</v>
      </c>
      <c r="G1" t="s">
        <v>3</v>
      </c>
      <c r="H1" t="s">
        <v>2</v>
      </c>
      <c r="I1" t="s">
        <v>6</v>
      </c>
      <c r="J1" t="s">
        <v>7</v>
      </c>
      <c r="K1" t="s">
        <v>8</v>
      </c>
      <c r="L1" t="s">
        <v>23</v>
      </c>
      <c r="M1" t="s">
        <v>19</v>
      </c>
      <c r="N1" t="s">
        <v>18</v>
      </c>
      <c r="O1" t="s">
        <v>17</v>
      </c>
    </row>
    <row r="2" spans="1:20" x14ac:dyDescent="0.25">
      <c r="A2" s="1">
        <v>45050</v>
      </c>
      <c r="B2">
        <v>0.95632577381152795</v>
      </c>
      <c r="C2">
        <v>-0.36629871913488299</v>
      </c>
      <c r="D2">
        <v>-0.99135398350890203</v>
      </c>
      <c r="E2">
        <v>-3.57839950280139</v>
      </c>
      <c r="G2" t="str">
        <f>IF(F2&gt;$R$2,"buy",IF(F2&lt;-$R$3,"sell","keep"))</f>
        <v>keep</v>
      </c>
      <c r="H2" t="str">
        <f>IF(F2&lt;&gt;"",IF(OR(AND(F2&lt;0,E3&lt;0),AND(F2&gt;0,E3&gt;0)),1,0),"")</f>
        <v/>
      </c>
      <c r="I2" t="str">
        <f>IF(AND(G2="sell",N1&lt;&gt;0),"sell",IF(AND(G2="buy",M1&lt;&gt;0),"buy","keep"))</f>
        <v>keep</v>
      </c>
      <c r="J2">
        <f t="shared" ref="J2:J62" si="0">IF(I2="buy",1,0)</f>
        <v>0</v>
      </c>
      <c r="K2">
        <f t="shared" ref="K2:K62" si="1">IF(I2="sell",1,0)</f>
        <v>0</v>
      </c>
      <c r="L2">
        <f>IF(AND(H2=1,OR(J2=1,K2=1)),1,0)</f>
        <v>0</v>
      </c>
      <c r="M2">
        <v>1000</v>
      </c>
      <c r="N2">
        <v>0</v>
      </c>
      <c r="O2">
        <v>1000</v>
      </c>
      <c r="Q2" t="s">
        <v>15</v>
      </c>
      <c r="R2">
        <v>0.15</v>
      </c>
    </row>
    <row r="3" spans="1:20" x14ac:dyDescent="0.25">
      <c r="A3" s="1">
        <v>45051</v>
      </c>
      <c r="B3">
        <v>-1.4941394329071001</v>
      </c>
      <c r="C3">
        <v>2.1309441961296902</v>
      </c>
      <c r="D3">
        <v>4.6926906115217699</v>
      </c>
      <c r="E3">
        <v>2.3616658345428401</v>
      </c>
      <c r="G3" t="str">
        <f t="shared" ref="G3:G66" si="2">IF(F3&gt;$R$2,"buy",IF(F3&lt;-$R$3,"sell","keep"))</f>
        <v>keep</v>
      </c>
      <c r="H3" t="str">
        <f t="shared" ref="H3:H66" si="3">IF(F3&lt;&gt;"",IF(OR(AND(F3&lt;0,E4&lt;0),AND(F3&gt;0,E4&gt;0)),1,0),"")</f>
        <v/>
      </c>
      <c r="I3" t="str">
        <f t="shared" ref="I3:I15" si="4">IF(AND(G3="sell",N2&lt;&gt;0),"sell",IF(AND(G3="buy",M2&lt;&gt;0),"buy","keep"))</f>
        <v>keep</v>
      </c>
      <c r="J3">
        <f t="shared" si="0"/>
        <v>0</v>
      </c>
      <c r="K3">
        <f t="shared" si="1"/>
        <v>0</v>
      </c>
      <c r="L3">
        <f t="shared" ref="L3:L66" si="5">IF(AND(H3=1,OR(J3=1,K3=1)),1,0)</f>
        <v>0</v>
      </c>
      <c r="M3">
        <f>IF(I3="sell",N2+(N2*E3/100),IF(I3="buy",0,M2))</f>
        <v>1000</v>
      </c>
      <c r="N3">
        <f>IF(I3="buy",M2,IF(I3="sell",0,IF(AND(I3="keep",N2&lt;&gt;0),N2+(N2*E2/100),N2)))</f>
        <v>0</v>
      </c>
      <c r="O3">
        <f>O2+(O2*E3/100)</f>
        <v>1023.6166583454284</v>
      </c>
      <c r="Q3" t="s">
        <v>16</v>
      </c>
      <c r="R3">
        <f>R2</f>
        <v>0.15</v>
      </c>
    </row>
    <row r="4" spans="1:20" x14ac:dyDescent="0.25">
      <c r="A4" s="1">
        <v>45054</v>
      </c>
      <c r="B4">
        <v>0.44116309637933698</v>
      </c>
      <c r="C4">
        <v>0.245187775610689</v>
      </c>
      <c r="D4">
        <v>-4.0336319545619601E-2</v>
      </c>
      <c r="E4">
        <v>1.27444852287641</v>
      </c>
      <c r="G4" t="str">
        <f t="shared" si="2"/>
        <v>keep</v>
      </c>
      <c r="H4" t="str">
        <f t="shared" si="3"/>
        <v/>
      </c>
      <c r="I4" t="str">
        <f t="shared" si="4"/>
        <v>keep</v>
      </c>
      <c r="J4">
        <f t="shared" si="0"/>
        <v>0</v>
      </c>
      <c r="K4">
        <f t="shared" si="1"/>
        <v>0</v>
      </c>
      <c r="L4">
        <f t="shared" si="5"/>
        <v>0</v>
      </c>
      <c r="M4">
        <f>IF(I4="sell",N3+(N3*E4/100),IF(I4="buy",0,M3))</f>
        <v>1000</v>
      </c>
      <c r="N4">
        <f>IF(I4="buy",M3,IF(I4="sell",0,IF(AND(I4="keep",N3&lt;&gt;0),N3+(N3*E3/100),N3)))</f>
        <v>0</v>
      </c>
      <c r="O4">
        <f>O3+(O3*E4/100)</f>
        <v>1036.6621257276286</v>
      </c>
      <c r="Q4" t="s">
        <v>10</v>
      </c>
      <c r="R4">
        <f>COUNTIF(F:F,"&lt;0")</f>
        <v>193</v>
      </c>
    </row>
    <row r="5" spans="1:20" x14ac:dyDescent="0.25">
      <c r="A5" s="1">
        <v>45055</v>
      </c>
      <c r="B5">
        <v>0.488570404441102</v>
      </c>
      <c r="C5">
        <v>-0.68109954279148499</v>
      </c>
      <c r="D5">
        <v>-0.99709331165744797</v>
      </c>
      <c r="E5">
        <v>-1.73572935943928</v>
      </c>
      <c r="G5" t="str">
        <f t="shared" si="2"/>
        <v>keep</v>
      </c>
      <c r="H5" t="str">
        <f t="shared" si="3"/>
        <v/>
      </c>
      <c r="I5" t="str">
        <f t="shared" si="4"/>
        <v>keep</v>
      </c>
      <c r="J5">
        <f t="shared" si="0"/>
        <v>0</v>
      </c>
      <c r="K5">
        <f t="shared" si="1"/>
        <v>0</v>
      </c>
      <c r="L5">
        <f t="shared" si="5"/>
        <v>0</v>
      </c>
      <c r="M5">
        <f>IF(I5="sell",N4+(N4*E5/100),IF(I5="buy",0,M4))</f>
        <v>1000</v>
      </c>
      <c r="N5">
        <f>IF(I5="buy",M4,IF(I5="sell",0,IF(AND(I5="keep",N4&lt;&gt;0),N4+(N4*E4/100),N4)))</f>
        <v>0</v>
      </c>
      <c r="O5">
        <f>O4+(O4*E5/100)</f>
        <v>1018.6684768531868</v>
      </c>
      <c r="Q5" t="s">
        <v>11</v>
      </c>
      <c r="R5">
        <f>COUNTIF(F:F,"&gt;=0")</f>
        <v>394</v>
      </c>
    </row>
    <row r="6" spans="1:20" x14ac:dyDescent="0.25">
      <c r="A6" s="1">
        <v>45056</v>
      </c>
      <c r="B6">
        <v>-0.27993081762891497</v>
      </c>
      <c r="C6">
        <v>1.1114195901342101</v>
      </c>
      <c r="D6">
        <v>1.04207810944498</v>
      </c>
      <c r="E6">
        <v>1.1260649588925999</v>
      </c>
      <c r="G6" t="str">
        <f t="shared" si="2"/>
        <v>keep</v>
      </c>
      <c r="H6" t="str">
        <f t="shared" si="3"/>
        <v/>
      </c>
      <c r="I6" t="str">
        <f t="shared" si="4"/>
        <v>keep</v>
      </c>
      <c r="J6">
        <f t="shared" si="0"/>
        <v>0</v>
      </c>
      <c r="K6">
        <f t="shared" si="1"/>
        <v>0</v>
      </c>
      <c r="L6">
        <f t="shared" si="5"/>
        <v>0</v>
      </c>
      <c r="M6">
        <f>IF(I6="sell",N5+(N5*E6/100),IF(I6="buy",0,M5))</f>
        <v>1000</v>
      </c>
      <c r="N6">
        <f>IF(I6="buy",M5,IF(I6="sell",0,IF(AND(I6="keep",N5&lt;&gt;0),N5+(N5*E5/100),N5)))</f>
        <v>0</v>
      </c>
      <c r="O6">
        <f>O5+(O5*E6/100)</f>
        <v>1030.1393456183155</v>
      </c>
      <c r="Q6" t="s">
        <v>12</v>
      </c>
      <c r="R6">
        <f>R4+R5</f>
        <v>587</v>
      </c>
    </row>
    <row r="7" spans="1:20" x14ac:dyDescent="0.25">
      <c r="A7" s="1">
        <v>45057</v>
      </c>
      <c r="B7">
        <v>-0.778135869397933</v>
      </c>
      <c r="C7">
        <v>0.314284756900296</v>
      </c>
      <c r="D7">
        <v>0.10946768497899199</v>
      </c>
      <c r="E7">
        <v>-1.2445337556248499</v>
      </c>
      <c r="G7" t="str">
        <f t="shared" si="2"/>
        <v>keep</v>
      </c>
      <c r="H7" t="str">
        <f t="shared" si="3"/>
        <v/>
      </c>
      <c r="I7" t="str">
        <f t="shared" si="4"/>
        <v>keep</v>
      </c>
      <c r="J7">
        <f t="shared" si="0"/>
        <v>0</v>
      </c>
      <c r="K7">
        <f t="shared" si="1"/>
        <v>0</v>
      </c>
      <c r="L7">
        <f t="shared" si="5"/>
        <v>0</v>
      </c>
      <c r="M7">
        <f>IF(I7="sell",N6+(N6*E7/100),IF(I7="buy",0,M6))</f>
        <v>1000</v>
      </c>
      <c r="N7">
        <f>IF(I7="buy",M6,IF(I7="sell",0,IF(AND(I7="keep",N6&lt;&gt;0),N6+(N6*E6/100),N6)))</f>
        <v>0</v>
      </c>
      <c r="O7">
        <f>O6+(O6*E7/100)</f>
        <v>1017.3189137321226</v>
      </c>
      <c r="Q7" t="s">
        <v>9</v>
      </c>
      <c r="R7">
        <f>COUNTA(A:A)-1</f>
        <v>648</v>
      </c>
    </row>
    <row r="8" spans="1:20" x14ac:dyDescent="0.25">
      <c r="A8" s="1">
        <v>45058</v>
      </c>
      <c r="B8">
        <v>-9.9246129310114999E-3</v>
      </c>
      <c r="C8">
        <v>-0.37043614551238702</v>
      </c>
      <c r="D8">
        <v>-0.54175539786065396</v>
      </c>
      <c r="E8">
        <v>-1.5255260747056001</v>
      </c>
      <c r="G8" t="str">
        <f t="shared" si="2"/>
        <v>keep</v>
      </c>
      <c r="H8" t="str">
        <f t="shared" si="3"/>
        <v/>
      </c>
      <c r="I8" t="str">
        <f t="shared" si="4"/>
        <v>keep</v>
      </c>
      <c r="J8">
        <f t="shared" si="0"/>
        <v>0</v>
      </c>
      <c r="K8">
        <f t="shared" si="1"/>
        <v>0</v>
      </c>
      <c r="L8">
        <f t="shared" si="5"/>
        <v>0</v>
      </c>
      <c r="M8">
        <f>IF(I8="sell",N7+(N7*E8/100),IF(I8="buy",0,M7))</f>
        <v>1000</v>
      </c>
      <c r="N8">
        <f>IF(I8="buy",M7,IF(I8="sell",0,IF(AND(I8="keep",N7&lt;&gt;0),N7+(N7*E7/100),N7)))</f>
        <v>0</v>
      </c>
      <c r="O8">
        <f>O7+(O7*E8/100)</f>
        <v>1001.7994484402273</v>
      </c>
      <c r="Q8" t="s">
        <v>4</v>
      </c>
      <c r="R8">
        <f>COUNTIF(I:I,"sell")</f>
        <v>80</v>
      </c>
    </row>
    <row r="9" spans="1:20" x14ac:dyDescent="0.25">
      <c r="A9" s="1">
        <v>45061</v>
      </c>
      <c r="B9">
        <v>0.173740382228837</v>
      </c>
      <c r="C9">
        <v>0.54969333129530895</v>
      </c>
      <c r="D9">
        <v>-0.289737433002412</v>
      </c>
      <c r="E9">
        <v>0.87561719159556795</v>
      </c>
      <c r="G9" t="str">
        <f t="shared" si="2"/>
        <v>keep</v>
      </c>
      <c r="H9" t="str">
        <f t="shared" si="3"/>
        <v/>
      </c>
      <c r="I9" t="str">
        <f t="shared" si="4"/>
        <v>keep</v>
      </c>
      <c r="J9">
        <f t="shared" si="0"/>
        <v>0</v>
      </c>
      <c r="K9">
        <f t="shared" si="1"/>
        <v>0</v>
      </c>
      <c r="L9">
        <f t="shared" si="5"/>
        <v>0</v>
      </c>
      <c r="M9">
        <f>IF(I9="sell",N8+(N8*E9/100),IF(I9="buy",0,M8))</f>
        <v>1000</v>
      </c>
      <c r="N9">
        <f>IF(I9="buy",M8,IF(I9="sell",0,IF(AND(I9="keep",N8&lt;&gt;0),N8+(N8*E8/100),N8)))</f>
        <v>0</v>
      </c>
      <c r="O9">
        <f>O8+(O8*E9/100)</f>
        <v>1010.5713766360794</v>
      </c>
      <c r="Q9" t="s">
        <v>5</v>
      </c>
      <c r="R9">
        <f>COUNTIF(I:I,"buy")</f>
        <v>81</v>
      </c>
    </row>
    <row r="10" spans="1:20" x14ac:dyDescent="0.25">
      <c r="A10" s="1">
        <v>45062</v>
      </c>
      <c r="B10">
        <v>-1.4667976008888799</v>
      </c>
      <c r="C10">
        <v>9.3189629100898203E-2</v>
      </c>
      <c r="D10">
        <v>0</v>
      </c>
      <c r="E10">
        <v>-1.1351058127298601</v>
      </c>
      <c r="G10" t="str">
        <f t="shared" si="2"/>
        <v>keep</v>
      </c>
      <c r="H10" t="str">
        <f t="shared" si="3"/>
        <v/>
      </c>
      <c r="I10" t="str">
        <f t="shared" si="4"/>
        <v>keep</v>
      </c>
      <c r="J10">
        <f t="shared" si="0"/>
        <v>0</v>
      </c>
      <c r="K10">
        <f t="shared" si="1"/>
        <v>0</v>
      </c>
      <c r="L10">
        <f t="shared" si="5"/>
        <v>0</v>
      </c>
      <c r="M10">
        <f>IF(I10="sell",N9+(N9*E10/100),IF(I10="buy",0,M9))</f>
        <v>1000</v>
      </c>
      <c r="N10">
        <f>IF(I10="buy",M9,IF(I10="sell",0,IF(AND(I10="keep",N9&lt;&gt;0),N9+(N9*E9/100),N9)))</f>
        <v>0</v>
      </c>
      <c r="O10">
        <f>O9+(O9*E10/100)</f>
        <v>999.10032219809909</v>
      </c>
      <c r="Q10" t="s">
        <v>13</v>
      </c>
      <c r="R10">
        <f>SUM(J:J)+SUM(K:K)</f>
        <v>161</v>
      </c>
      <c r="S10" s="2">
        <f>R10*2</f>
        <v>322</v>
      </c>
    </row>
    <row r="11" spans="1:20" x14ac:dyDescent="0.25">
      <c r="A11" s="1">
        <v>45063</v>
      </c>
      <c r="B11">
        <v>-0.38724970567511802</v>
      </c>
      <c r="C11">
        <v>1.2159234415125499</v>
      </c>
      <c r="D11">
        <v>0.36031839418895201</v>
      </c>
      <c r="E11">
        <v>-0.58533110610230399</v>
      </c>
      <c r="G11" t="str">
        <f t="shared" si="2"/>
        <v>keep</v>
      </c>
      <c r="H11" t="str">
        <f t="shared" si="3"/>
        <v/>
      </c>
      <c r="I11" t="str">
        <f t="shared" si="4"/>
        <v>keep</v>
      </c>
      <c r="J11">
        <f t="shared" si="0"/>
        <v>0</v>
      </c>
      <c r="K11">
        <f t="shared" si="1"/>
        <v>0</v>
      </c>
      <c r="L11">
        <f t="shared" si="5"/>
        <v>0</v>
      </c>
      <c r="M11">
        <f>IF(I11="sell",N10+(N10*E11/100),IF(I11="buy",0,M10))</f>
        <v>1000</v>
      </c>
      <c r="N11">
        <f>IF(I11="buy",M10,IF(I11="sell",0,IF(AND(I11="keep",N10&lt;&gt;0),N10+(N10*E10/100),N10)))</f>
        <v>0</v>
      </c>
      <c r="O11">
        <f>O10+(O10*E11/100)</f>
        <v>993.25227723110527</v>
      </c>
      <c r="Q11" t="s">
        <v>14</v>
      </c>
      <c r="R11">
        <f>SUM(L:L)</f>
        <v>90</v>
      </c>
      <c r="S11">
        <f>R11/R10%</f>
        <v>55.900621118012417</v>
      </c>
      <c r="T11" t="s">
        <v>24</v>
      </c>
    </row>
    <row r="12" spans="1:20" x14ac:dyDescent="0.25">
      <c r="A12" s="1">
        <v>45064</v>
      </c>
      <c r="B12">
        <v>-1.2217878410890599</v>
      </c>
      <c r="C12">
        <v>1.8055461135797399</v>
      </c>
      <c r="D12">
        <v>1.3666193273282601</v>
      </c>
      <c r="E12">
        <v>-0.38495366367727801</v>
      </c>
      <c r="G12" t="str">
        <f t="shared" si="2"/>
        <v>keep</v>
      </c>
      <c r="H12" t="str">
        <f t="shared" si="3"/>
        <v/>
      </c>
      <c r="I12" t="str">
        <f t="shared" si="4"/>
        <v>keep</v>
      </c>
      <c r="J12">
        <f t="shared" si="0"/>
        <v>0</v>
      </c>
      <c r="K12">
        <f t="shared" si="1"/>
        <v>0</v>
      </c>
      <c r="L12">
        <f t="shared" si="5"/>
        <v>0</v>
      </c>
      <c r="M12">
        <f>IF(I12="sell",N11+(N11*E12/100),IF(I12="buy",0,M11))</f>
        <v>1000</v>
      </c>
      <c r="N12">
        <f>IF(I12="buy",M11,IF(I12="sell",0,IF(AND(I12="keep",N11&lt;&gt;0),N11+(N11*E11/100),N11)))</f>
        <v>0</v>
      </c>
      <c r="O12">
        <f>O11+(O11*E12/100)</f>
        <v>989.42871620034612</v>
      </c>
      <c r="Q12" t="s">
        <v>20</v>
      </c>
      <c r="R12" cm="1">
        <f t="array" ref="R12">LOOKUP(2,1/(O:O&lt;&gt;""),O:O)</f>
        <v>2057.7511252744207</v>
      </c>
    </row>
    <row r="13" spans="1:20" x14ac:dyDescent="0.25">
      <c r="A13" s="1">
        <v>45065</v>
      </c>
      <c r="B13">
        <v>1.13467677852669</v>
      </c>
      <c r="C13">
        <v>-0.22501436648647499</v>
      </c>
      <c r="D13">
        <v>6.2825935456656198E-2</v>
      </c>
      <c r="E13">
        <v>-9.0929016630503207E-2</v>
      </c>
      <c r="G13" t="str">
        <f t="shared" si="2"/>
        <v>keep</v>
      </c>
      <c r="H13" t="str">
        <f t="shared" si="3"/>
        <v/>
      </c>
      <c r="I13" t="str">
        <f t="shared" si="4"/>
        <v>keep</v>
      </c>
      <c r="J13">
        <f t="shared" si="0"/>
        <v>0</v>
      </c>
      <c r="K13">
        <f t="shared" si="1"/>
        <v>0</v>
      </c>
      <c r="L13">
        <f t="shared" si="5"/>
        <v>0</v>
      </c>
      <c r="M13">
        <f>IF(I13="sell",N12+(N12*E13/100),IF(I13="buy",0,M12))</f>
        <v>1000</v>
      </c>
      <c r="N13">
        <f>IF(I13="buy",M12,IF(I13="sell",0,IF(AND(I13="keep",N12&lt;&gt;0),N12+(N12*E12/100),N12)))</f>
        <v>0</v>
      </c>
      <c r="O13">
        <f>O12+(O12*E13/100)</f>
        <v>988.52903839844532</v>
      </c>
      <c r="Q13" t="s">
        <v>21</v>
      </c>
      <c r="R13" cm="1">
        <f t="array" ref="R13">LOOKUP(2,1/(N:N&lt;&gt;""),N:N)</f>
        <v>2062.2232572746893</v>
      </c>
    </row>
    <row r="14" spans="1:20" x14ac:dyDescent="0.25">
      <c r="A14" s="1">
        <v>45068</v>
      </c>
      <c r="B14">
        <v>-0.197094174962719</v>
      </c>
      <c r="C14">
        <v>0.33506018561033601</v>
      </c>
      <c r="D14">
        <v>-0.54806142195659102</v>
      </c>
      <c r="E14">
        <v>0.47780476335952299</v>
      </c>
      <c r="G14" t="str">
        <f t="shared" si="2"/>
        <v>keep</v>
      </c>
      <c r="H14" t="str">
        <f t="shared" si="3"/>
        <v/>
      </c>
      <c r="I14" t="str">
        <f t="shared" si="4"/>
        <v>keep</v>
      </c>
      <c r="J14">
        <f t="shared" si="0"/>
        <v>0</v>
      </c>
      <c r="K14">
        <f t="shared" si="1"/>
        <v>0</v>
      </c>
      <c r="L14">
        <f t="shared" si="5"/>
        <v>0</v>
      </c>
      <c r="M14">
        <f>IF(I14="sell",N13+(N13*E14/100),IF(I14="buy",0,M13))</f>
        <v>1000</v>
      </c>
      <c r="N14">
        <f>IF(I14="buy",M13,IF(I14="sell",0,IF(AND(I14="keep",N13&lt;&gt;0),N13+(N13*E13/100),N13)))</f>
        <v>0</v>
      </c>
      <c r="O14">
        <f>O13+(O13*E14/100)</f>
        <v>993.25227723110515</v>
      </c>
      <c r="Q14" t="s">
        <v>22</v>
      </c>
      <c r="R14" cm="1">
        <f t="array" ref="R14">LOOKUP(2,1/(M:M&lt;&gt;""),M:M)</f>
        <v>0</v>
      </c>
    </row>
    <row r="15" spans="1:20" x14ac:dyDescent="0.25">
      <c r="A15" s="1">
        <v>45069</v>
      </c>
      <c r="B15">
        <v>-0.12153252758357801</v>
      </c>
      <c r="C15">
        <v>-1.27944778973319</v>
      </c>
      <c r="D15">
        <v>-1.51549902286928</v>
      </c>
      <c r="E15">
        <v>3.01178152996322</v>
      </c>
      <c r="G15" t="str">
        <f t="shared" si="2"/>
        <v>keep</v>
      </c>
      <c r="H15" t="str">
        <f t="shared" si="3"/>
        <v/>
      </c>
      <c r="I15" t="str">
        <f t="shared" si="4"/>
        <v>keep</v>
      </c>
      <c r="J15">
        <f t="shared" si="0"/>
        <v>0</v>
      </c>
      <c r="K15">
        <f t="shared" si="1"/>
        <v>0</v>
      </c>
      <c r="L15">
        <f t="shared" si="5"/>
        <v>0</v>
      </c>
      <c r="M15">
        <f>IF(I15="sell",N14+(N14*E15/100),IF(I15="buy",0,M14))</f>
        <v>1000</v>
      </c>
      <c r="N15">
        <f>IF(I15="buy",M14,IF(I15="sell",0,IF(AND(I15="keep",N14&lt;&gt;0),N14+(N14*E14/100),N14)))</f>
        <v>0</v>
      </c>
      <c r="O15">
        <f>O14+(O14*E15/100)</f>
        <v>1023.1668658626907</v>
      </c>
    </row>
    <row r="16" spans="1:20" x14ac:dyDescent="0.25">
      <c r="A16" s="1">
        <v>45070</v>
      </c>
      <c r="B16">
        <v>-0.48671544651746002</v>
      </c>
      <c r="C16">
        <v>-0.49778292927322698</v>
      </c>
      <c r="D16">
        <v>0.163199160859783</v>
      </c>
      <c r="E16">
        <v>-3.3853546884593699</v>
      </c>
      <c r="G16" t="str">
        <f t="shared" si="2"/>
        <v>keep</v>
      </c>
      <c r="H16" t="str">
        <f t="shared" si="3"/>
        <v/>
      </c>
      <c r="I16" t="str">
        <f t="shared" ref="I16:I47" si="6">IF(AND(G16="sell",N15&lt;&gt;0),"sell",IF(AND(G16="buy",M15&lt;&gt;0),"buy","keep"))</f>
        <v>keep</v>
      </c>
      <c r="J16">
        <f t="shared" si="0"/>
        <v>0</v>
      </c>
      <c r="K16">
        <f t="shared" si="1"/>
        <v>0</v>
      </c>
      <c r="L16">
        <f t="shared" si="5"/>
        <v>0</v>
      </c>
      <c r="M16">
        <f>IF(I16="sell",N15+(N15*E16/100),IF(I16="buy",0,M15))</f>
        <v>1000</v>
      </c>
      <c r="N16">
        <f>IF(I16="buy",M15,IF(I16="sell",0,IF(AND(I16="keep",N15&lt;&gt;0),N15+(N15*E15/100),N15)))</f>
        <v>0</v>
      </c>
      <c r="O16">
        <f>O15+(O15*E16/100)</f>
        <v>988.52903839844521</v>
      </c>
    </row>
    <row r="17" spans="1:15" x14ac:dyDescent="0.25">
      <c r="A17" s="1">
        <v>45071</v>
      </c>
      <c r="B17">
        <v>-1.00367193560797</v>
      </c>
      <c r="C17">
        <v>2.4554396285460802</v>
      </c>
      <c r="D17">
        <v>0.669240548945504</v>
      </c>
      <c r="E17">
        <v>-1.27418360110791</v>
      </c>
      <c r="G17" t="str">
        <f t="shared" si="2"/>
        <v>keep</v>
      </c>
      <c r="H17" t="str">
        <f t="shared" si="3"/>
        <v/>
      </c>
      <c r="I17" t="str">
        <f t="shared" si="6"/>
        <v>keep</v>
      </c>
      <c r="J17">
        <f t="shared" si="0"/>
        <v>0</v>
      </c>
      <c r="K17">
        <f t="shared" si="1"/>
        <v>0</v>
      </c>
      <c r="L17">
        <f t="shared" si="5"/>
        <v>0</v>
      </c>
      <c r="M17">
        <f>IF(I17="sell",N16+(N16*E17/100),IF(I17="buy",0,M16))</f>
        <v>1000</v>
      </c>
      <c r="N17">
        <f>IF(I17="buy",M16,IF(I17="sell",0,IF(AND(I17="keep",N16&lt;&gt;0),N16+(N16*E16/100),N16)))</f>
        <v>0</v>
      </c>
      <c r="O17">
        <f>O16+(O16*E17/100)</f>
        <v>975.93336349898254</v>
      </c>
    </row>
    <row r="18" spans="1:15" x14ac:dyDescent="0.25">
      <c r="A18" s="1">
        <v>45072</v>
      </c>
      <c r="B18">
        <v>5.1464155862523897E-2</v>
      </c>
      <c r="C18">
        <v>2.5819069568498101</v>
      </c>
      <c r="D18">
        <v>1.41046785915606</v>
      </c>
      <c r="E18">
        <v>-1.03709934090198</v>
      </c>
      <c r="G18" t="str">
        <f t="shared" si="2"/>
        <v>keep</v>
      </c>
      <c r="H18" t="str">
        <f t="shared" si="3"/>
        <v/>
      </c>
      <c r="I18" t="str">
        <f t="shared" si="6"/>
        <v>keep</v>
      </c>
      <c r="J18">
        <f t="shared" si="0"/>
        <v>0</v>
      </c>
      <c r="K18">
        <f t="shared" si="1"/>
        <v>0</v>
      </c>
      <c r="L18">
        <f t="shared" si="5"/>
        <v>0</v>
      </c>
      <c r="M18">
        <f>IF(I18="sell",N17+(N17*E18/100),IF(I18="buy",0,M17))</f>
        <v>1000</v>
      </c>
      <c r="N18">
        <f>IF(I18="buy",M17,IF(I18="sell",0,IF(AND(I18="keep",N17&lt;&gt;0),N17+(N17*E17/100),N17)))</f>
        <v>0</v>
      </c>
      <c r="O18">
        <f>O17+(O17*E18/100)</f>
        <v>965.81196501849206</v>
      </c>
    </row>
    <row r="19" spans="1:15" x14ac:dyDescent="0.25">
      <c r="A19" s="1">
        <v>45077</v>
      </c>
      <c r="B19">
        <v>0.30132913248530602</v>
      </c>
      <c r="C19">
        <v>-0.70289417810525101</v>
      </c>
      <c r="D19">
        <v>-2.8205137585845998E-2</v>
      </c>
      <c r="E19">
        <v>-2.4834824464787499</v>
      </c>
      <c r="G19" t="str">
        <f t="shared" si="2"/>
        <v>keep</v>
      </c>
      <c r="H19" t="str">
        <f t="shared" si="3"/>
        <v/>
      </c>
      <c r="I19" t="str">
        <f t="shared" si="6"/>
        <v>keep</v>
      </c>
      <c r="J19">
        <f t="shared" si="0"/>
        <v>0</v>
      </c>
      <c r="K19">
        <f t="shared" si="1"/>
        <v>0</v>
      </c>
      <c r="L19">
        <f t="shared" si="5"/>
        <v>0</v>
      </c>
      <c r="M19">
        <f>IF(I19="sell",N18+(N18*E19/100),IF(I19="buy",0,M18))</f>
        <v>1000</v>
      </c>
      <c r="N19">
        <f>IF(I19="buy",M18,IF(I19="sell",0,IF(AND(I19="keep",N18&lt;&gt;0),N18+(N18*E18/100),N18)))</f>
        <v>0</v>
      </c>
      <c r="O19">
        <f>O18+(O18*E19/100)</f>
        <v>941.82619440126632</v>
      </c>
    </row>
    <row r="20" spans="1:15" x14ac:dyDescent="0.25">
      <c r="A20" s="1">
        <v>45078</v>
      </c>
      <c r="B20">
        <v>0.71795791082309701</v>
      </c>
      <c r="C20">
        <v>1.31485015128607</v>
      </c>
      <c r="D20">
        <v>1.60224763743646</v>
      </c>
      <c r="E20">
        <v>-0.86448138928048002</v>
      </c>
      <c r="G20" t="str">
        <f t="shared" si="2"/>
        <v>keep</v>
      </c>
      <c r="H20" t="str">
        <f t="shared" si="3"/>
        <v/>
      </c>
      <c r="I20" t="str">
        <f t="shared" si="6"/>
        <v>keep</v>
      </c>
      <c r="J20">
        <f t="shared" si="0"/>
        <v>0</v>
      </c>
      <c r="K20">
        <f t="shared" si="1"/>
        <v>0</v>
      </c>
      <c r="L20">
        <f t="shared" si="5"/>
        <v>0</v>
      </c>
      <c r="M20">
        <f>IF(I20="sell",N19+(N19*E20/100),IF(I20="buy",0,M19))</f>
        <v>1000</v>
      </c>
      <c r="N20">
        <f>IF(I20="buy",M19,IF(I20="sell",0,IF(AND(I20="keep",N19&lt;&gt;0),N19+(N19*E19/100),N19)))</f>
        <v>0</v>
      </c>
      <c r="O20">
        <f>O19+(O19*E20/100)</f>
        <v>933.68428223129877</v>
      </c>
    </row>
    <row r="21" spans="1:15" x14ac:dyDescent="0.25">
      <c r="A21" s="1">
        <v>45079</v>
      </c>
      <c r="B21">
        <v>-1.2942353683487</v>
      </c>
      <c r="C21">
        <v>0.72797016737640097</v>
      </c>
      <c r="D21">
        <v>0.47754752256465799</v>
      </c>
      <c r="E21">
        <v>5.3499908364083</v>
      </c>
      <c r="G21" t="str">
        <f t="shared" si="2"/>
        <v>keep</v>
      </c>
      <c r="H21" t="str">
        <f t="shared" si="3"/>
        <v/>
      </c>
      <c r="I21" t="str">
        <f t="shared" si="6"/>
        <v>keep</v>
      </c>
      <c r="J21">
        <f t="shared" si="0"/>
        <v>0</v>
      </c>
      <c r="K21">
        <f t="shared" si="1"/>
        <v>0</v>
      </c>
      <c r="L21">
        <f t="shared" si="5"/>
        <v>0</v>
      </c>
      <c r="M21">
        <f>IF(I21="sell",N20+(N20*E21/100),IF(I21="buy",0,M20))</f>
        <v>1000</v>
      </c>
      <c r="N21">
        <f>IF(I21="buy",M20,IF(I21="sell",0,IF(AND(I21="keep",N20&lt;&gt;0),N20+(N20*E20/100),N20)))</f>
        <v>0</v>
      </c>
      <c r="O21">
        <f>O20+(O20*E21/100)</f>
        <v>983.63630577165782</v>
      </c>
    </row>
    <row r="22" spans="1:15" x14ac:dyDescent="0.25">
      <c r="A22" s="1">
        <v>45082</v>
      </c>
      <c r="B22">
        <v>0.28682521593483801</v>
      </c>
      <c r="C22">
        <v>6.7784394202408102E-2</v>
      </c>
      <c r="D22">
        <v>-0.75711079617104504</v>
      </c>
      <c r="E22">
        <v>-1.00671472488687</v>
      </c>
      <c r="G22" t="str">
        <f t="shared" si="2"/>
        <v>keep</v>
      </c>
      <c r="H22" t="str">
        <f t="shared" si="3"/>
        <v/>
      </c>
      <c r="I22" t="str">
        <f t="shared" si="6"/>
        <v>keep</v>
      </c>
      <c r="J22">
        <f t="shared" si="0"/>
        <v>0</v>
      </c>
      <c r="K22">
        <f t="shared" si="1"/>
        <v>0</v>
      </c>
      <c r="L22">
        <f t="shared" si="5"/>
        <v>0</v>
      </c>
      <c r="M22">
        <f>IF(I22="sell",N21+(N21*E22/100),IF(I22="buy",0,M21))</f>
        <v>1000</v>
      </c>
      <c r="N22">
        <f>IF(I22="buy",M21,IF(I22="sell",0,IF(AND(I22="keep",N21&lt;&gt;0),N21+(N21*E21/100),N21)))</f>
        <v>0</v>
      </c>
      <c r="O22">
        <f>O21+(O21*E22/100)</f>
        <v>973.73389424212132</v>
      </c>
    </row>
    <row r="23" spans="1:15" x14ac:dyDescent="0.25">
      <c r="A23" s="1">
        <v>45083</v>
      </c>
      <c r="B23">
        <v>0.38304392236976298</v>
      </c>
      <c r="C23">
        <v>1.09218819771328E-2</v>
      </c>
      <c r="D23">
        <v>-0.20603195374399</v>
      </c>
      <c r="E23">
        <v>0.56496948536091096</v>
      </c>
      <c r="G23" t="str">
        <f t="shared" si="2"/>
        <v>keep</v>
      </c>
      <c r="H23" t="str">
        <f t="shared" si="3"/>
        <v/>
      </c>
      <c r="I23" t="str">
        <f t="shared" si="6"/>
        <v>keep</v>
      </c>
      <c r="J23">
        <f t="shared" si="0"/>
        <v>0</v>
      </c>
      <c r="K23">
        <f t="shared" si="1"/>
        <v>0</v>
      </c>
      <c r="L23">
        <f t="shared" si="5"/>
        <v>0</v>
      </c>
      <c r="M23">
        <f>IF(I23="sell",N22+(N22*E23/100),IF(I23="buy",0,M22))</f>
        <v>1000</v>
      </c>
      <c r="N23">
        <f>IF(I23="buy",M22,IF(I23="sell",0,IF(AND(I23="keep",N22&lt;&gt;0),N22+(N22*E22/100),N22)))</f>
        <v>0</v>
      </c>
      <c r="O23">
        <f>O22+(O22*E23/100)</f>
        <v>979.23519361320575</v>
      </c>
    </row>
    <row r="24" spans="1:15" x14ac:dyDescent="0.25">
      <c r="A24" s="1">
        <v>45084</v>
      </c>
      <c r="B24">
        <v>-1.1600126597875899</v>
      </c>
      <c r="C24">
        <v>-1.75022827460354</v>
      </c>
      <c r="D24">
        <v>-0.77562181727428503</v>
      </c>
      <c r="E24">
        <v>3.3707823481807502</v>
      </c>
      <c r="G24" t="str">
        <f t="shared" si="2"/>
        <v>keep</v>
      </c>
      <c r="H24" t="str">
        <f t="shared" si="3"/>
        <v/>
      </c>
      <c r="I24" t="str">
        <f t="shared" si="6"/>
        <v>keep</v>
      </c>
      <c r="J24">
        <f t="shared" si="0"/>
        <v>0</v>
      </c>
      <c r="K24">
        <f t="shared" si="1"/>
        <v>0</v>
      </c>
      <c r="L24">
        <f t="shared" si="5"/>
        <v>0</v>
      </c>
      <c r="M24">
        <f>IF(I24="sell",N23+(N23*E24/100),IF(I24="buy",0,M23))</f>
        <v>1000</v>
      </c>
      <c r="N24">
        <f>IF(I24="buy",M23,IF(I24="sell",0,IF(AND(I24="keep",N23&lt;&gt;0),N23+(N23*E23/100),N23)))</f>
        <v>0</v>
      </c>
      <c r="O24">
        <f>O23+(O23*E24/100)</f>
        <v>1012.2430806666932</v>
      </c>
    </row>
    <row r="25" spans="1:15" x14ac:dyDescent="0.25">
      <c r="A25" s="1">
        <v>45085</v>
      </c>
      <c r="B25">
        <v>1.0758235929050699</v>
      </c>
      <c r="C25">
        <v>1.2671909714828</v>
      </c>
      <c r="D25">
        <v>1.5465028245550101</v>
      </c>
      <c r="E25">
        <v>4.34823961797281E-2</v>
      </c>
      <c r="G25" t="str">
        <f t="shared" si="2"/>
        <v>keep</v>
      </c>
      <c r="H25" t="str">
        <f t="shared" si="3"/>
        <v/>
      </c>
      <c r="I25" t="str">
        <f t="shared" si="6"/>
        <v>keep</v>
      </c>
      <c r="J25">
        <f t="shared" si="0"/>
        <v>0</v>
      </c>
      <c r="K25">
        <f t="shared" si="1"/>
        <v>0</v>
      </c>
      <c r="L25">
        <f t="shared" si="5"/>
        <v>0</v>
      </c>
      <c r="M25">
        <f>IF(I25="sell",N24+(N24*E25/100),IF(I25="buy",0,M24))</f>
        <v>1000</v>
      </c>
      <c r="N25">
        <f>IF(I25="buy",M24,IF(I25="sell",0,IF(AND(I25="keep",N24&lt;&gt;0),N24+(N24*E24/100),N24)))</f>
        <v>0</v>
      </c>
      <c r="O25">
        <f>O24+(O24*E25/100)</f>
        <v>1012.6832282133306</v>
      </c>
    </row>
    <row r="26" spans="1:15" x14ac:dyDescent="0.25">
      <c r="A26" s="1">
        <v>45086</v>
      </c>
      <c r="B26">
        <v>-7.1298860840773803E-2</v>
      </c>
      <c r="C26">
        <v>0.30253161220048502</v>
      </c>
      <c r="D26">
        <v>0.21597838026650101</v>
      </c>
      <c r="E26">
        <v>1.8470192525534099</v>
      </c>
      <c r="G26" t="str">
        <f t="shared" si="2"/>
        <v>keep</v>
      </c>
      <c r="H26" t="str">
        <f t="shared" si="3"/>
        <v/>
      </c>
      <c r="I26" t="str">
        <f t="shared" si="6"/>
        <v>keep</v>
      </c>
      <c r="J26">
        <f t="shared" si="0"/>
        <v>0</v>
      </c>
      <c r="K26">
        <f t="shared" si="1"/>
        <v>0</v>
      </c>
      <c r="L26">
        <f t="shared" si="5"/>
        <v>0</v>
      </c>
      <c r="M26">
        <f>IF(I26="sell",N25+(N25*E26/100),IF(I26="buy",0,M25))</f>
        <v>1000</v>
      </c>
      <c r="N26">
        <f>IF(I26="buy",M25,IF(I26="sell",0,IF(AND(I26="keep",N25&lt;&gt;0),N25+(N25*E25/100),N25)))</f>
        <v>0</v>
      </c>
      <c r="O26">
        <f>O25+(O25*E26/100)</f>
        <v>1031.3876824058102</v>
      </c>
    </row>
    <row r="27" spans="1:15" x14ac:dyDescent="0.25">
      <c r="A27" s="1">
        <v>45089</v>
      </c>
      <c r="B27">
        <v>-0.35164114338241897</v>
      </c>
      <c r="C27">
        <v>1.7616540816147399</v>
      </c>
      <c r="D27">
        <v>1.5638853876147301</v>
      </c>
      <c r="E27">
        <v>0.68274278212334605</v>
      </c>
      <c r="G27" t="str">
        <f t="shared" si="2"/>
        <v>keep</v>
      </c>
      <c r="H27" t="str">
        <f t="shared" si="3"/>
        <v/>
      </c>
      <c r="I27" t="str">
        <f t="shared" si="6"/>
        <v>keep</v>
      </c>
      <c r="J27">
        <f t="shared" si="0"/>
        <v>0</v>
      </c>
      <c r="K27">
        <f t="shared" si="1"/>
        <v>0</v>
      </c>
      <c r="L27">
        <f t="shared" si="5"/>
        <v>0</v>
      </c>
      <c r="M27">
        <f>IF(I27="sell",N26+(N26*E27/100),IF(I27="buy",0,M26))</f>
        <v>1000</v>
      </c>
      <c r="N27">
        <f>IF(I27="buy",M26,IF(I27="sell",0,IF(AND(I27="keep",N26&lt;&gt;0),N26+(N26*E26/100),N26)))</f>
        <v>0</v>
      </c>
      <c r="O27">
        <f>O26+(O26*E27/100)</f>
        <v>1038.4294073631452</v>
      </c>
    </row>
    <row r="28" spans="1:15" x14ac:dyDescent="0.25">
      <c r="A28" s="1">
        <v>45090</v>
      </c>
      <c r="B28">
        <v>-0.54723433616239403</v>
      </c>
      <c r="C28">
        <v>0.78833496497783195</v>
      </c>
      <c r="D28">
        <v>-0.261175963240245</v>
      </c>
      <c r="E28">
        <v>-0.74168310293404305</v>
      </c>
      <c r="G28" t="str">
        <f t="shared" si="2"/>
        <v>keep</v>
      </c>
      <c r="H28" t="str">
        <f t="shared" si="3"/>
        <v/>
      </c>
      <c r="I28" t="str">
        <f t="shared" si="6"/>
        <v>keep</v>
      </c>
      <c r="J28">
        <f t="shared" si="0"/>
        <v>0</v>
      </c>
      <c r="K28">
        <f t="shared" si="1"/>
        <v>0</v>
      </c>
      <c r="L28">
        <f t="shared" si="5"/>
        <v>0</v>
      </c>
      <c r="M28">
        <f>IF(I28="sell",N27+(N27*E28/100),IF(I28="buy",0,M27))</f>
        <v>1000</v>
      </c>
      <c r="N28">
        <f>IF(I28="buy",M27,IF(I28="sell",0,IF(AND(I28="keep",N27&lt;&gt;0),N27+(N27*E27/100),N27)))</f>
        <v>0</v>
      </c>
      <c r="O28">
        <f>O27+(O27*E28/100)</f>
        <v>1030.7275519128345</v>
      </c>
    </row>
    <row r="29" spans="1:15" x14ac:dyDescent="0.25">
      <c r="A29" s="1">
        <v>45091</v>
      </c>
      <c r="B29">
        <v>0.55024546829809395</v>
      </c>
      <c r="C29">
        <v>0.70358954731373202</v>
      </c>
      <c r="D29">
        <v>0.34912684588213</v>
      </c>
      <c r="E29">
        <v>6.4045100157716903E-2</v>
      </c>
      <c r="G29" t="str">
        <f t="shared" si="2"/>
        <v>keep</v>
      </c>
      <c r="H29" t="str">
        <f t="shared" si="3"/>
        <v/>
      </c>
      <c r="I29" t="str">
        <f t="shared" si="6"/>
        <v>keep</v>
      </c>
      <c r="J29">
        <f t="shared" si="0"/>
        <v>0</v>
      </c>
      <c r="K29">
        <f t="shared" si="1"/>
        <v>0</v>
      </c>
      <c r="L29">
        <f t="shared" si="5"/>
        <v>0</v>
      </c>
      <c r="M29">
        <f>IF(I29="sell",N28+(N28*E29/100),IF(I29="buy",0,M28))</f>
        <v>1000</v>
      </c>
      <c r="N29">
        <f>IF(I29="buy",M28,IF(I29="sell",0,IF(AND(I29="keep",N28&lt;&gt;0),N28+(N28*E28/100),N28)))</f>
        <v>0</v>
      </c>
      <c r="O29">
        <f>O28+(O28*E29/100)</f>
        <v>1031.3876824058102</v>
      </c>
    </row>
    <row r="30" spans="1:15" x14ac:dyDescent="0.25">
      <c r="A30" s="1">
        <v>45092</v>
      </c>
      <c r="B30">
        <v>0.12785761456397499</v>
      </c>
      <c r="C30">
        <v>1.1981457294814</v>
      </c>
      <c r="D30">
        <v>1.1198861802651701</v>
      </c>
      <c r="E30">
        <v>-0.78942216741970594</v>
      </c>
      <c r="G30" t="str">
        <f t="shared" si="2"/>
        <v>keep</v>
      </c>
      <c r="H30" t="str">
        <f t="shared" si="3"/>
        <v/>
      </c>
      <c r="I30" t="str">
        <f t="shared" si="6"/>
        <v>keep</v>
      </c>
      <c r="J30">
        <f t="shared" si="0"/>
        <v>0</v>
      </c>
      <c r="K30">
        <f t="shared" si="1"/>
        <v>0</v>
      </c>
      <c r="L30">
        <f t="shared" si="5"/>
        <v>0</v>
      </c>
      <c r="M30">
        <f>IF(I30="sell",N29+(N29*E30/100),IF(I30="buy",0,M29))</f>
        <v>1000</v>
      </c>
      <c r="N30">
        <f>IF(I30="buy",M29,IF(I30="sell",0,IF(AND(I30="keep",N29&lt;&gt;0),N29+(N29*E29/100),N29)))</f>
        <v>0</v>
      </c>
      <c r="O30">
        <f>O29+(O29*E30/100)</f>
        <v>1023.2456794088624</v>
      </c>
    </row>
    <row r="31" spans="1:15" x14ac:dyDescent="0.25">
      <c r="A31" s="1">
        <v>45093</v>
      </c>
      <c r="B31">
        <v>3.0645396413020401E-2</v>
      </c>
      <c r="C31">
        <v>-0.66880035231021695</v>
      </c>
      <c r="D31">
        <v>-0.58599398164303995</v>
      </c>
      <c r="E31">
        <v>2.0000127819598199</v>
      </c>
      <c r="G31" t="str">
        <f t="shared" si="2"/>
        <v>keep</v>
      </c>
      <c r="H31" t="str">
        <f t="shared" si="3"/>
        <v/>
      </c>
      <c r="I31" t="str">
        <f t="shared" si="6"/>
        <v>keep</v>
      </c>
      <c r="J31">
        <f t="shared" si="0"/>
        <v>0</v>
      </c>
      <c r="K31">
        <f t="shared" si="1"/>
        <v>0</v>
      </c>
      <c r="L31">
        <f t="shared" si="5"/>
        <v>0</v>
      </c>
      <c r="M31">
        <f>IF(I31="sell",N30+(N30*E31/100),IF(I31="buy",0,M30))</f>
        <v>1000</v>
      </c>
      <c r="N31">
        <f>IF(I31="buy",M30,IF(I31="sell",0,IF(AND(I31="keep",N30&lt;&gt;0),N30+(N30*E30/100),N30)))</f>
        <v>0</v>
      </c>
      <c r="O31">
        <f>O30+(O30*E31/100)</f>
        <v>1043.7107237878913</v>
      </c>
    </row>
    <row r="32" spans="1:15" x14ac:dyDescent="0.25">
      <c r="A32" s="1">
        <v>45098</v>
      </c>
      <c r="B32">
        <v>-0.11366319668689701</v>
      </c>
      <c r="C32">
        <v>-1.3450442766556401</v>
      </c>
      <c r="D32">
        <v>-0.56753259762591901</v>
      </c>
      <c r="E32">
        <v>0.151030269547169</v>
      </c>
      <c r="G32" t="str">
        <f t="shared" si="2"/>
        <v>keep</v>
      </c>
      <c r="H32" t="str">
        <f t="shared" si="3"/>
        <v/>
      </c>
      <c r="I32" t="str">
        <f t="shared" si="6"/>
        <v>keep</v>
      </c>
      <c r="J32">
        <f t="shared" si="0"/>
        <v>0</v>
      </c>
      <c r="K32">
        <f t="shared" si="1"/>
        <v>0</v>
      </c>
      <c r="L32">
        <f t="shared" si="5"/>
        <v>0</v>
      </c>
      <c r="M32">
        <f>IF(I32="sell",N31+(N31*E32/100),IF(I32="buy",0,M31))</f>
        <v>1000</v>
      </c>
      <c r="N32">
        <f>IF(I32="buy",M31,IF(I32="sell",0,IF(AND(I32="keep",N31&lt;&gt;0),N31+(N31*E31/100),N31)))</f>
        <v>0</v>
      </c>
      <c r="O32">
        <f>O31+(O31*E32/100)</f>
        <v>1045.2870429073209</v>
      </c>
    </row>
    <row r="33" spans="1:15" x14ac:dyDescent="0.25">
      <c r="A33" s="1">
        <v>45099</v>
      </c>
      <c r="B33">
        <v>-1.0655406370437299</v>
      </c>
      <c r="C33">
        <v>1.1761944038166801</v>
      </c>
      <c r="D33">
        <v>1.6525327431766399</v>
      </c>
      <c r="E33">
        <v>-0.60319226511152901</v>
      </c>
      <c r="G33" t="str">
        <f t="shared" si="2"/>
        <v>keep</v>
      </c>
      <c r="H33" t="str">
        <f t="shared" si="3"/>
        <v/>
      </c>
      <c r="I33" t="str">
        <f t="shared" si="6"/>
        <v>keep</v>
      </c>
      <c r="J33">
        <f t="shared" si="0"/>
        <v>0</v>
      </c>
      <c r="K33">
        <f t="shared" si="1"/>
        <v>0</v>
      </c>
      <c r="L33">
        <f t="shared" si="5"/>
        <v>0</v>
      </c>
      <c r="M33">
        <f>IF(I33="sell",N32+(N32*E33/100),IF(I33="buy",0,M32))</f>
        <v>1000</v>
      </c>
      <c r="N33">
        <f>IF(I33="buy",M32,IF(I33="sell",0,IF(AND(I33="keep",N32&lt;&gt;0),N32+(N32*E32/100),N32)))</f>
        <v>0</v>
      </c>
      <c r="O33">
        <f>O32+(O32*E33/100)</f>
        <v>1038.981952316291</v>
      </c>
    </row>
    <row r="34" spans="1:15" x14ac:dyDescent="0.25">
      <c r="A34" s="1">
        <v>45100</v>
      </c>
      <c r="B34">
        <v>0.33460681640846701</v>
      </c>
      <c r="C34">
        <v>-1.00276978960921</v>
      </c>
      <c r="D34">
        <v>-0.171131211083874</v>
      </c>
      <c r="E34">
        <v>-1.1703550488479899</v>
      </c>
      <c r="G34" t="str">
        <f t="shared" si="2"/>
        <v>keep</v>
      </c>
      <c r="H34" t="str">
        <f t="shared" si="3"/>
        <v/>
      </c>
      <c r="I34" t="str">
        <f t="shared" si="6"/>
        <v>keep</v>
      </c>
      <c r="J34">
        <f t="shared" si="0"/>
        <v>0</v>
      </c>
      <c r="K34">
        <f t="shared" si="1"/>
        <v>0</v>
      </c>
      <c r="L34">
        <f t="shared" si="5"/>
        <v>0</v>
      </c>
      <c r="M34">
        <f>IF(I34="sell",N33+(N33*E34/100),IF(I34="buy",0,M33))</f>
        <v>1000</v>
      </c>
      <c r="N34">
        <f>IF(I34="buy",M33,IF(I34="sell",0,IF(AND(I34="keep",N33&lt;&gt;0),N33+(N33*E33/100),N33)))</f>
        <v>0</v>
      </c>
      <c r="O34">
        <f>O33+(O33*E34/100)</f>
        <v>1026.8221745807377</v>
      </c>
    </row>
    <row r="35" spans="1:15" x14ac:dyDescent="0.25">
      <c r="A35" s="1">
        <v>45103</v>
      </c>
      <c r="B35">
        <v>0.239694421575564</v>
      </c>
      <c r="C35">
        <v>-1.35957561724548</v>
      </c>
      <c r="D35">
        <v>-0.75530720415052299</v>
      </c>
      <c r="E35">
        <v>0.70174873271482396</v>
      </c>
      <c r="G35" t="str">
        <f t="shared" si="2"/>
        <v>keep</v>
      </c>
      <c r="H35" t="str">
        <f t="shared" si="3"/>
        <v/>
      </c>
      <c r="I35" t="str">
        <f t="shared" si="6"/>
        <v>keep</v>
      </c>
      <c r="J35">
        <f t="shared" si="0"/>
        <v>0</v>
      </c>
      <c r="K35">
        <f t="shared" si="1"/>
        <v>0</v>
      </c>
      <c r="L35">
        <f t="shared" si="5"/>
        <v>0</v>
      </c>
      <c r="M35">
        <f>IF(I35="sell",N34+(N34*E35/100),IF(I35="buy",0,M34))</f>
        <v>1000</v>
      </c>
      <c r="N35">
        <f>IF(I35="buy",M34,IF(I35="sell",0,IF(AND(I35="keep",N34&lt;&gt;0),N34+(N34*E34/100),N34)))</f>
        <v>0</v>
      </c>
      <c r="O35">
        <f>O34+(O34*E35/100)</f>
        <v>1034.0278861780928</v>
      </c>
    </row>
    <row r="36" spans="1:15" x14ac:dyDescent="0.25">
      <c r="A36" s="1">
        <v>45104</v>
      </c>
      <c r="B36">
        <v>-0.50423410189130902</v>
      </c>
      <c r="C36">
        <v>1.74886162043341</v>
      </c>
      <c r="D36">
        <v>1.5059309446614699</v>
      </c>
      <c r="E36">
        <v>0.95819846500206896</v>
      </c>
      <c r="G36" t="str">
        <f t="shared" si="2"/>
        <v>keep</v>
      </c>
      <c r="H36" t="str">
        <f t="shared" si="3"/>
        <v/>
      </c>
      <c r="I36" t="str">
        <f t="shared" si="6"/>
        <v>keep</v>
      </c>
      <c r="J36">
        <f t="shared" si="0"/>
        <v>0</v>
      </c>
      <c r="K36">
        <f t="shared" si="1"/>
        <v>0</v>
      </c>
      <c r="L36">
        <f t="shared" si="5"/>
        <v>0</v>
      </c>
      <c r="M36">
        <f>IF(I36="sell",N35+(N35*E36/100),IF(I36="buy",0,M35))</f>
        <v>1000</v>
      </c>
      <c r="N36">
        <f>IF(I36="buy",M35,IF(I36="sell",0,IF(AND(I36="keep",N35&lt;&gt;0),N35+(N35*E35/100),N35)))</f>
        <v>0</v>
      </c>
      <c r="O36">
        <f>O35+(O35*E36/100)</f>
        <v>1043.9359255111447</v>
      </c>
    </row>
    <row r="37" spans="1:15" x14ac:dyDescent="0.25">
      <c r="A37" s="1">
        <v>45105</v>
      </c>
      <c r="B37">
        <v>-8.8816675646552407E-2</v>
      </c>
      <c r="C37">
        <v>0.12485125398802301</v>
      </c>
      <c r="D37">
        <v>0.63276424709135504</v>
      </c>
      <c r="E37">
        <v>1.7040569945049699</v>
      </c>
      <c r="G37" t="str">
        <f t="shared" si="2"/>
        <v>keep</v>
      </c>
      <c r="H37" t="str">
        <f t="shared" si="3"/>
        <v/>
      </c>
      <c r="I37" t="str">
        <f t="shared" si="6"/>
        <v>keep</v>
      </c>
      <c r="J37">
        <f t="shared" si="0"/>
        <v>0</v>
      </c>
      <c r="K37">
        <f t="shared" si="1"/>
        <v>0</v>
      </c>
      <c r="L37">
        <f t="shared" si="5"/>
        <v>0</v>
      </c>
      <c r="M37">
        <f>IF(I37="sell",N36+(N36*E37/100),IF(I37="buy",0,M36))</f>
        <v>1000</v>
      </c>
      <c r="N37">
        <f>IF(I37="buy",M36,IF(I37="sell",0,IF(AND(I37="keep",N36&lt;&gt;0),N36+(N36*E36/100),N36)))</f>
        <v>0</v>
      </c>
      <c r="O37">
        <f>O36+(O36*E37/100)</f>
        <v>1061.7251886679676</v>
      </c>
    </row>
    <row r="38" spans="1:15" x14ac:dyDescent="0.25">
      <c r="A38" s="1">
        <v>45106</v>
      </c>
      <c r="B38">
        <v>-0.16211355839005301</v>
      </c>
      <c r="C38">
        <v>-0.16452271380578101</v>
      </c>
      <c r="D38">
        <v>0.17965650231681601</v>
      </c>
      <c r="E38">
        <v>-0.23329390243272899</v>
      </c>
      <c r="G38" t="str">
        <f t="shared" si="2"/>
        <v>keep</v>
      </c>
      <c r="H38" t="str">
        <f t="shared" si="3"/>
        <v/>
      </c>
      <c r="I38" t="str">
        <f t="shared" si="6"/>
        <v>keep</v>
      </c>
      <c r="J38">
        <f t="shared" si="0"/>
        <v>0</v>
      </c>
      <c r="K38">
        <f t="shared" si="1"/>
        <v>0</v>
      </c>
      <c r="L38">
        <f t="shared" si="5"/>
        <v>0</v>
      </c>
      <c r="M38">
        <f>IF(I38="sell",N37+(N37*E38/100),IF(I38="buy",0,M37))</f>
        <v>1000</v>
      </c>
      <c r="N38">
        <f>IF(I38="buy",M37,IF(I38="sell",0,IF(AND(I38="keep",N37&lt;&gt;0),N37+(N37*E37/100),N37)))</f>
        <v>0</v>
      </c>
      <c r="O38">
        <f>O37+(O37*E38/100)</f>
        <v>1059.2482485422129</v>
      </c>
    </row>
    <row r="39" spans="1:15" x14ac:dyDescent="0.25">
      <c r="A39" s="1">
        <v>45107</v>
      </c>
      <c r="B39">
        <v>0.62329901102071705</v>
      </c>
      <c r="C39">
        <v>1.6014763268760299</v>
      </c>
      <c r="D39">
        <v>2.3102561063477398</v>
      </c>
      <c r="E39">
        <v>2.35968997716797</v>
      </c>
      <c r="G39" t="str">
        <f t="shared" si="2"/>
        <v>keep</v>
      </c>
      <c r="H39" t="str">
        <f t="shared" si="3"/>
        <v/>
      </c>
      <c r="I39" t="str">
        <f t="shared" si="6"/>
        <v>keep</v>
      </c>
      <c r="J39">
        <f t="shared" si="0"/>
        <v>0</v>
      </c>
      <c r="K39">
        <f t="shared" si="1"/>
        <v>0</v>
      </c>
      <c r="L39">
        <f t="shared" si="5"/>
        <v>0</v>
      </c>
      <c r="M39">
        <f>IF(I39="sell",N38+(N38*E39/100),IF(I39="buy",0,M38))</f>
        <v>1000</v>
      </c>
      <c r="N39">
        <f>IF(I39="buy",M38,IF(I39="sell",0,IF(AND(I39="keep",N38&lt;&gt;0),N38+(N38*E38/100),N38)))</f>
        <v>0</v>
      </c>
      <c r="O39">
        <f>O38+(O38*E39/100)</f>
        <v>1084.2432232963909</v>
      </c>
    </row>
    <row r="40" spans="1:15" x14ac:dyDescent="0.25">
      <c r="A40" s="1">
        <v>45110</v>
      </c>
      <c r="B40">
        <v>3.12308361648083E-2</v>
      </c>
      <c r="C40">
        <v>0.194216094420363</v>
      </c>
      <c r="D40">
        <v>-0.77848262371590304</v>
      </c>
      <c r="E40">
        <v>0.35306261913194897</v>
      </c>
      <c r="G40" t="str">
        <f t="shared" si="2"/>
        <v>keep</v>
      </c>
      <c r="H40" t="str">
        <f t="shared" si="3"/>
        <v/>
      </c>
      <c r="I40" t="str">
        <f t="shared" si="6"/>
        <v>keep</v>
      </c>
      <c r="J40">
        <f t="shared" si="0"/>
        <v>0</v>
      </c>
      <c r="K40">
        <f t="shared" si="1"/>
        <v>0</v>
      </c>
      <c r="L40">
        <f t="shared" si="5"/>
        <v>0</v>
      </c>
      <c r="M40">
        <f>IF(I40="sell",N39+(N39*E40/100),IF(I40="buy",0,M39))</f>
        <v>1000</v>
      </c>
      <c r="N40">
        <f>IF(I40="buy",M39,IF(I40="sell",0,IF(AND(I40="keep",N39&lt;&gt;0),N39+(N39*E39/100),N39)))</f>
        <v>0</v>
      </c>
      <c r="O40">
        <f>O39+(O39*E40/100)</f>
        <v>1088.0712808183218</v>
      </c>
    </row>
    <row r="41" spans="1:15" x14ac:dyDescent="0.25">
      <c r="A41" s="1">
        <v>45113</v>
      </c>
      <c r="B41">
        <v>-0.56782790960055995</v>
      </c>
      <c r="C41">
        <v>-0.75198454640090695</v>
      </c>
      <c r="D41">
        <v>0.25087540016563897</v>
      </c>
      <c r="E41">
        <v>-5.5466802427521298</v>
      </c>
      <c r="G41" t="str">
        <f t="shared" si="2"/>
        <v>keep</v>
      </c>
      <c r="H41" t="str">
        <f t="shared" si="3"/>
        <v/>
      </c>
      <c r="I41" t="str">
        <f t="shared" si="6"/>
        <v>keep</v>
      </c>
      <c r="J41">
        <f t="shared" si="0"/>
        <v>0</v>
      </c>
      <c r="K41">
        <f t="shared" si="1"/>
        <v>0</v>
      </c>
      <c r="L41">
        <f t="shared" si="5"/>
        <v>0</v>
      </c>
      <c r="M41">
        <f>IF(I41="sell",N40+(N40*E41/100),IF(I41="buy",0,M40))</f>
        <v>1000</v>
      </c>
      <c r="N41">
        <f>IF(I41="buy",M40,IF(I41="sell",0,IF(AND(I41="keep",N40&lt;&gt;0),N40+(N40*E40/100),N40)))</f>
        <v>0</v>
      </c>
      <c r="O41">
        <f>O40+(O40*E41/100)</f>
        <v>1027.719446058112</v>
      </c>
    </row>
    <row r="42" spans="1:15" x14ac:dyDescent="0.25">
      <c r="A42" s="1">
        <v>45114</v>
      </c>
      <c r="B42">
        <v>0.91685442697557695</v>
      </c>
      <c r="C42">
        <v>-0.348591799281328</v>
      </c>
      <c r="D42">
        <v>-0.58913661360580005</v>
      </c>
      <c r="E42">
        <v>4.5838523960119302</v>
      </c>
      <c r="G42" t="str">
        <f t="shared" si="2"/>
        <v>keep</v>
      </c>
      <c r="H42" t="str">
        <f t="shared" si="3"/>
        <v/>
      </c>
      <c r="I42" t="str">
        <f t="shared" si="6"/>
        <v>keep</v>
      </c>
      <c r="J42">
        <f t="shared" si="0"/>
        <v>0</v>
      </c>
      <c r="K42">
        <f t="shared" si="1"/>
        <v>0</v>
      </c>
      <c r="L42">
        <f t="shared" si="5"/>
        <v>0</v>
      </c>
      <c r="M42">
        <f>IF(I42="sell",N41+(N41*E42/100),IF(I42="buy",0,M41))</f>
        <v>1000</v>
      </c>
      <c r="N42">
        <f>IF(I42="buy",M41,IF(I42="sell",0,IF(AND(I42="keep",N41&lt;&gt;0),N41+(N41*E41/100),N41)))</f>
        <v>0</v>
      </c>
      <c r="O42">
        <f>O41+(O41*E42/100)</f>
        <v>1074.8285885105272</v>
      </c>
    </row>
    <row r="43" spans="1:15" x14ac:dyDescent="0.25">
      <c r="A43" s="1">
        <v>45117</v>
      </c>
      <c r="B43">
        <v>-6.2296293338859297E-2</v>
      </c>
      <c r="C43">
        <v>5.8456653427052502E-2</v>
      </c>
      <c r="D43">
        <v>-1.08556808386096</v>
      </c>
      <c r="E43">
        <v>-0.66652872181814904</v>
      </c>
      <c r="G43" t="str">
        <f t="shared" si="2"/>
        <v>keep</v>
      </c>
      <c r="H43" t="str">
        <f t="shared" si="3"/>
        <v/>
      </c>
      <c r="I43" t="str">
        <f t="shared" si="6"/>
        <v>keep</v>
      </c>
      <c r="J43">
        <f t="shared" si="0"/>
        <v>0</v>
      </c>
      <c r="K43">
        <f t="shared" si="1"/>
        <v>0</v>
      </c>
      <c r="L43">
        <f t="shared" si="5"/>
        <v>0</v>
      </c>
      <c r="M43">
        <f>IF(I43="sell",N42+(N42*E43/100),IF(I43="buy",0,M42))</f>
        <v>1000</v>
      </c>
      <c r="N43">
        <f>IF(I43="buy",M42,IF(I43="sell",0,IF(AND(I43="keep",N42&lt;&gt;0),N42+(N42*E42/100),N42)))</f>
        <v>0</v>
      </c>
      <c r="O43">
        <f>O42+(O42*E43/100)</f>
        <v>1067.664547257792</v>
      </c>
    </row>
    <row r="44" spans="1:15" x14ac:dyDescent="0.25">
      <c r="A44" s="1">
        <v>45118</v>
      </c>
      <c r="B44">
        <v>0.32727526379869798</v>
      </c>
      <c r="C44">
        <v>0.48798139255332701</v>
      </c>
      <c r="D44">
        <v>-0.280998953449418</v>
      </c>
      <c r="E44">
        <v>4.1886984343754303</v>
      </c>
      <c r="G44" t="str">
        <f t="shared" si="2"/>
        <v>keep</v>
      </c>
      <c r="H44" t="str">
        <f t="shared" si="3"/>
        <v/>
      </c>
      <c r="I44" t="str">
        <f t="shared" si="6"/>
        <v>keep</v>
      </c>
      <c r="J44">
        <f t="shared" si="0"/>
        <v>0</v>
      </c>
      <c r="K44">
        <f t="shared" si="1"/>
        <v>0</v>
      </c>
      <c r="L44">
        <f t="shared" si="5"/>
        <v>0</v>
      </c>
      <c r="M44">
        <f>IF(I44="sell",N43+(N43*E44/100),IF(I44="buy",0,M43))</f>
        <v>1000</v>
      </c>
      <c r="N44">
        <f>IF(I44="buy",M43,IF(I44="sell",0,IF(AND(I44="keep",N43&lt;&gt;0),N43+(N43*E43/100),N43)))</f>
        <v>0</v>
      </c>
      <c r="O44">
        <f>O43+(O43*E44/100)</f>
        <v>1112.3857954331606</v>
      </c>
    </row>
    <row r="45" spans="1:15" x14ac:dyDescent="0.25">
      <c r="A45" s="1">
        <v>45119</v>
      </c>
      <c r="B45">
        <v>1.28928191965089</v>
      </c>
      <c r="C45">
        <v>1.2445939349758901</v>
      </c>
      <c r="D45">
        <v>0.89854119464773896</v>
      </c>
      <c r="E45">
        <v>2.9664244508256199</v>
      </c>
      <c r="G45" t="str">
        <f t="shared" si="2"/>
        <v>keep</v>
      </c>
      <c r="H45" t="str">
        <f t="shared" si="3"/>
        <v/>
      </c>
      <c r="I45" t="str">
        <f t="shared" si="6"/>
        <v>keep</v>
      </c>
      <c r="J45">
        <f t="shared" si="0"/>
        <v>0</v>
      </c>
      <c r="K45">
        <f t="shared" si="1"/>
        <v>0</v>
      </c>
      <c r="L45">
        <f t="shared" si="5"/>
        <v>0</v>
      </c>
      <c r="M45">
        <f>IF(I45="sell",N44+(N44*E45/100),IF(I45="buy",0,M44))</f>
        <v>1000</v>
      </c>
      <c r="N45">
        <f>IF(I45="buy",M44,IF(I45="sell",0,IF(AND(I45="keep",N44&lt;&gt;0),N44+(N44*E44/100),N44)))</f>
        <v>0</v>
      </c>
      <c r="O45">
        <f>O44+(O44*E45/100)</f>
        <v>1145.3838796564009</v>
      </c>
    </row>
    <row r="46" spans="1:15" x14ac:dyDescent="0.25">
      <c r="A46" s="1">
        <v>45120</v>
      </c>
      <c r="B46">
        <v>0.15335855612319499</v>
      </c>
      <c r="C46">
        <v>1.7295747949996001</v>
      </c>
      <c r="D46">
        <v>0.40575832078004698</v>
      </c>
      <c r="E46">
        <v>0.79607076281913403</v>
      </c>
      <c r="G46" t="str">
        <f t="shared" si="2"/>
        <v>keep</v>
      </c>
      <c r="H46" t="str">
        <f t="shared" si="3"/>
        <v/>
      </c>
      <c r="I46" t="str">
        <f t="shared" si="6"/>
        <v>keep</v>
      </c>
      <c r="J46">
        <f t="shared" si="0"/>
        <v>0</v>
      </c>
      <c r="K46">
        <f t="shared" si="1"/>
        <v>0</v>
      </c>
      <c r="L46">
        <f t="shared" si="5"/>
        <v>0</v>
      </c>
      <c r="M46">
        <f>IF(I46="sell",N45+(N45*E46/100),IF(I46="buy",0,M45))</f>
        <v>1000</v>
      </c>
      <c r="N46">
        <f>IF(I46="buy",M45,IF(I46="sell",0,IF(AND(I46="keep",N45&lt;&gt;0),N45+(N45*E45/100),N45)))</f>
        <v>0</v>
      </c>
      <c r="O46">
        <f>O45+(O45*E46/100)</f>
        <v>1154.501945844389</v>
      </c>
    </row>
    <row r="47" spans="1:15" x14ac:dyDescent="0.25">
      <c r="A47" s="1">
        <v>45121</v>
      </c>
      <c r="B47">
        <v>4.5938364459652201E-2</v>
      </c>
      <c r="C47">
        <v>-4.09765436567677E-2</v>
      </c>
      <c r="D47">
        <v>7.8727661137611898E-2</v>
      </c>
      <c r="E47">
        <v>-0.63934450404329302</v>
      </c>
      <c r="G47" t="str">
        <f t="shared" si="2"/>
        <v>keep</v>
      </c>
      <c r="H47" t="str">
        <f t="shared" si="3"/>
        <v/>
      </c>
      <c r="I47" t="str">
        <f t="shared" si="6"/>
        <v>keep</v>
      </c>
      <c r="J47">
        <f t="shared" si="0"/>
        <v>0</v>
      </c>
      <c r="K47">
        <f t="shared" si="1"/>
        <v>0</v>
      </c>
      <c r="L47">
        <f t="shared" si="5"/>
        <v>0</v>
      </c>
      <c r="M47">
        <f>IF(I47="sell",N46+(N46*E47/100),IF(I47="buy",0,M46))</f>
        <v>1000</v>
      </c>
      <c r="N47">
        <f>IF(I47="buy",M46,IF(I47="sell",0,IF(AND(I47="keep",N46&lt;&gt;0),N46+(N46*E46/100),N46)))</f>
        <v>0</v>
      </c>
      <c r="O47">
        <f>O46+(O46*E47/100)</f>
        <v>1147.1207011045599</v>
      </c>
    </row>
    <row r="48" spans="1:15" x14ac:dyDescent="0.25">
      <c r="A48" s="1">
        <v>45124</v>
      </c>
      <c r="B48">
        <v>-0.39283461393714297</v>
      </c>
      <c r="C48">
        <v>0.94876309148768101</v>
      </c>
      <c r="D48">
        <v>1.73057315673916</v>
      </c>
      <c r="E48">
        <v>-1.28690121751315</v>
      </c>
      <c r="G48" t="str">
        <f t="shared" si="2"/>
        <v>keep</v>
      </c>
      <c r="H48" t="str">
        <f t="shared" si="3"/>
        <v/>
      </c>
      <c r="I48" t="str">
        <f t="shared" ref="I48:I66" si="7">IF(AND(G48="sell",N47&lt;&gt;0),"sell",IF(AND(G48="buy",M47&lt;&gt;0),"buy","keep"))</f>
        <v>keep</v>
      </c>
      <c r="J48">
        <f t="shared" si="0"/>
        <v>0</v>
      </c>
      <c r="K48">
        <f t="shared" si="1"/>
        <v>0</v>
      </c>
      <c r="L48">
        <f t="shared" si="5"/>
        <v>0</v>
      </c>
      <c r="M48">
        <f>IF(I48="sell",N47+(N47*E48/100),IF(I48="buy",0,M47))</f>
        <v>1000</v>
      </c>
      <c r="N48">
        <f>IF(I48="buy",M47,IF(I48="sell",0,IF(AND(I48="keep",N47&lt;&gt;0),N47+(N47*E47/100),N47)))</f>
        <v>0</v>
      </c>
      <c r="O48">
        <f>O47+(O47*E48/100)</f>
        <v>1132.3583908357</v>
      </c>
    </row>
    <row r="49" spans="1:15" x14ac:dyDescent="0.25">
      <c r="A49" s="1">
        <v>45125</v>
      </c>
      <c r="B49">
        <v>1.27022774266023</v>
      </c>
      <c r="C49">
        <v>0.81503883154172496</v>
      </c>
      <c r="D49">
        <v>-0.13404339098491699</v>
      </c>
      <c r="E49">
        <v>3.8339289177713398E-2</v>
      </c>
      <c r="G49" t="str">
        <f t="shared" si="2"/>
        <v>keep</v>
      </c>
      <c r="H49" t="str">
        <f t="shared" si="3"/>
        <v/>
      </c>
      <c r="I49" t="str">
        <f t="shared" si="7"/>
        <v>keep</v>
      </c>
      <c r="J49">
        <f t="shared" si="0"/>
        <v>0</v>
      </c>
      <c r="K49">
        <f t="shared" si="1"/>
        <v>0</v>
      </c>
      <c r="L49">
        <f t="shared" si="5"/>
        <v>0</v>
      </c>
      <c r="M49">
        <f>IF(I49="sell",N48+(N48*E49/100),IF(I49="buy",0,M48))</f>
        <v>1000</v>
      </c>
      <c r="N49">
        <f>IF(I49="buy",M48,IF(I49="sell",0,IF(AND(I49="keep",N48&lt;&gt;0),N48+(N48*E48/100),N48)))</f>
        <v>0</v>
      </c>
      <c r="O49">
        <f>O48+(O48*E49/100)</f>
        <v>1132.7925289936907</v>
      </c>
    </row>
    <row r="50" spans="1:15" x14ac:dyDescent="0.25">
      <c r="A50" s="1">
        <v>45126</v>
      </c>
      <c r="B50">
        <v>1.5175441813419699E-2</v>
      </c>
      <c r="C50">
        <v>-9.4688901955186602E-2</v>
      </c>
      <c r="D50">
        <v>0.70717356101364004</v>
      </c>
      <c r="E50">
        <v>1.3798436514693899</v>
      </c>
      <c r="G50" t="str">
        <f t="shared" si="2"/>
        <v>keep</v>
      </c>
      <c r="H50" t="str">
        <f t="shared" si="3"/>
        <v/>
      </c>
      <c r="I50" t="str">
        <f t="shared" si="7"/>
        <v>keep</v>
      </c>
      <c r="J50">
        <f t="shared" si="0"/>
        <v>0</v>
      </c>
      <c r="K50">
        <f t="shared" si="1"/>
        <v>0</v>
      </c>
      <c r="L50">
        <f t="shared" si="5"/>
        <v>0</v>
      </c>
      <c r="M50">
        <f>IF(I50="sell",N49+(N49*E50/100),IF(I50="buy",0,M49))</f>
        <v>1000</v>
      </c>
      <c r="N50">
        <f>IF(I50="buy",M49,IF(I50="sell",0,IF(AND(I50="keep",N49&lt;&gt;0),N49+(N49*E49/100),N49)))</f>
        <v>0</v>
      </c>
      <c r="O50">
        <f>O49+(O49*E50/100)</f>
        <v>1148.4232947893297</v>
      </c>
    </row>
    <row r="51" spans="1:15" x14ac:dyDescent="0.25">
      <c r="A51" s="1">
        <v>45127</v>
      </c>
      <c r="B51">
        <v>-0.46523141197850598</v>
      </c>
      <c r="C51">
        <v>-2.2763288725253101</v>
      </c>
      <c r="D51">
        <v>-1.0097501497894901</v>
      </c>
      <c r="E51">
        <v>0.18903047426854699</v>
      </c>
      <c r="G51" t="str">
        <f t="shared" si="2"/>
        <v>keep</v>
      </c>
      <c r="H51" t="str">
        <f t="shared" si="3"/>
        <v/>
      </c>
      <c r="I51" t="str">
        <f t="shared" si="7"/>
        <v>keep</v>
      </c>
      <c r="J51">
        <f t="shared" si="0"/>
        <v>0</v>
      </c>
      <c r="K51">
        <f t="shared" si="1"/>
        <v>0</v>
      </c>
      <c r="L51">
        <f t="shared" si="5"/>
        <v>0</v>
      </c>
      <c r="M51">
        <f>IF(I51="sell",N50+(N50*E51/100),IF(I51="buy",0,M50))</f>
        <v>1000</v>
      </c>
      <c r="N51">
        <f>IF(I51="buy",M50,IF(I51="sell",0,IF(AND(I51="keep",N50&lt;&gt;0),N50+(N50*E50/100),N50)))</f>
        <v>0</v>
      </c>
      <c r="O51">
        <f>O50+(O50*E51/100)</f>
        <v>1150.5941647900804</v>
      </c>
    </row>
    <row r="52" spans="1:15" x14ac:dyDescent="0.25">
      <c r="A52" s="1">
        <v>45128</v>
      </c>
      <c r="B52">
        <v>-0.203221048659807</v>
      </c>
      <c r="C52">
        <v>-0.26134544854809999</v>
      </c>
      <c r="D52">
        <v>-0.61616115574598596</v>
      </c>
      <c r="E52">
        <v>-0.188673823245644</v>
      </c>
      <c r="G52" t="str">
        <f t="shared" si="2"/>
        <v>keep</v>
      </c>
      <c r="H52" t="str">
        <f t="shared" si="3"/>
        <v/>
      </c>
      <c r="I52" t="str">
        <f t="shared" si="7"/>
        <v>keep</v>
      </c>
      <c r="J52">
        <f t="shared" si="0"/>
        <v>0</v>
      </c>
      <c r="K52">
        <f t="shared" si="1"/>
        <v>0</v>
      </c>
      <c r="L52">
        <f t="shared" si="5"/>
        <v>0</v>
      </c>
      <c r="M52">
        <f>IF(I52="sell",N51+(N51*E52/100),IF(I52="buy",0,M51))</f>
        <v>1000</v>
      </c>
      <c r="N52">
        <f>IF(I52="buy",M51,IF(I52="sell",0,IF(AND(I52="keep",N51&lt;&gt;0),N51+(N51*E51/100),N51)))</f>
        <v>0</v>
      </c>
      <c r="O52">
        <f>O51+(O51*E52/100)</f>
        <v>1148.4232947893297</v>
      </c>
    </row>
    <row r="53" spans="1:15" x14ac:dyDescent="0.25">
      <c r="A53" s="1">
        <v>45131</v>
      </c>
      <c r="B53">
        <v>-0.203634877593483</v>
      </c>
      <c r="C53">
        <v>0.144885826600682</v>
      </c>
      <c r="D53">
        <v>0.42199470587582699</v>
      </c>
      <c r="E53">
        <v>-0.64272858042148096</v>
      </c>
      <c r="G53" t="str">
        <f t="shared" si="2"/>
        <v>keep</v>
      </c>
      <c r="H53" t="str">
        <f t="shared" si="3"/>
        <v/>
      </c>
      <c r="I53" t="str">
        <f t="shared" si="7"/>
        <v>keep</v>
      </c>
      <c r="J53">
        <f t="shared" si="0"/>
        <v>0</v>
      </c>
      <c r="K53">
        <f t="shared" si="1"/>
        <v>0</v>
      </c>
      <c r="L53">
        <f t="shared" si="5"/>
        <v>0</v>
      </c>
      <c r="M53">
        <f>IF(I53="sell",N52+(N52*E53/100),IF(I53="buy",0,M52))</f>
        <v>1000</v>
      </c>
      <c r="N53">
        <f>IF(I53="buy",M52,IF(I53="sell",0,IF(AND(I53="keep",N52&lt;&gt;0),N52+(N52*E52/100),N52)))</f>
        <v>0</v>
      </c>
      <c r="O53">
        <f>O52+(O52*E53/100)</f>
        <v>1141.0420500495006</v>
      </c>
    </row>
    <row r="54" spans="1:15" x14ac:dyDescent="0.25">
      <c r="A54" s="1">
        <v>45132</v>
      </c>
      <c r="B54">
        <v>9.1818941640520096E-2</v>
      </c>
      <c r="C54">
        <v>0.73407720902733897</v>
      </c>
      <c r="D54">
        <v>0.45136581968572198</v>
      </c>
      <c r="E54">
        <v>-1.90257998282875</v>
      </c>
      <c r="G54" t="str">
        <f t="shared" si="2"/>
        <v>keep</v>
      </c>
      <c r="H54" t="str">
        <f t="shared" si="3"/>
        <v/>
      </c>
      <c r="I54" t="str">
        <f t="shared" si="7"/>
        <v>keep</v>
      </c>
      <c r="J54">
        <f t="shared" si="0"/>
        <v>0</v>
      </c>
      <c r="K54">
        <f t="shared" si="1"/>
        <v>0</v>
      </c>
      <c r="L54">
        <f t="shared" si="5"/>
        <v>0</v>
      </c>
      <c r="M54">
        <f>IF(I54="sell",N53+(N53*E54/100),IF(I54="buy",0,M53))</f>
        <v>1000</v>
      </c>
      <c r="N54">
        <f>IF(I54="buy",M53,IF(I54="sell",0,IF(AND(I54="keep",N53&lt;&gt;0),N53+(N53*E53/100),N53)))</f>
        <v>0</v>
      </c>
      <c r="O54">
        <f>O53+(O53*E54/100)</f>
        <v>1119.3328124096001</v>
      </c>
    </row>
    <row r="55" spans="1:15" x14ac:dyDescent="0.25">
      <c r="A55" s="1">
        <v>45133</v>
      </c>
      <c r="B55">
        <v>0.346569946115726</v>
      </c>
      <c r="C55">
        <v>-0.39945041366450301</v>
      </c>
      <c r="D55">
        <v>0.45450640617052901</v>
      </c>
      <c r="E55">
        <v>0.27152209677372402</v>
      </c>
      <c r="G55" t="str">
        <f t="shared" si="2"/>
        <v>keep</v>
      </c>
      <c r="H55" t="str">
        <f t="shared" si="3"/>
        <v/>
      </c>
      <c r="I55" t="str">
        <f t="shared" si="7"/>
        <v>keep</v>
      </c>
      <c r="J55">
        <f t="shared" si="0"/>
        <v>0</v>
      </c>
      <c r="K55">
        <f t="shared" si="1"/>
        <v>0</v>
      </c>
      <c r="L55">
        <f t="shared" si="5"/>
        <v>0</v>
      </c>
      <c r="M55">
        <f>IF(I55="sell",N54+(N54*E55/100),IF(I55="buy",0,M54))</f>
        <v>1000</v>
      </c>
      <c r="N55">
        <f>IF(I55="buy",M54,IF(I55="sell",0,IF(AND(I55="keep",N54&lt;&gt;0),N54+(N54*E54/100),N54)))</f>
        <v>0</v>
      </c>
      <c r="O55">
        <f>O54+(O54*E55/100)</f>
        <v>1122.3720483317309</v>
      </c>
    </row>
    <row r="56" spans="1:15" x14ac:dyDescent="0.25">
      <c r="A56" s="1">
        <v>45134</v>
      </c>
      <c r="B56">
        <v>-1.19355984095705</v>
      </c>
      <c r="C56">
        <v>-0.22149495294697599</v>
      </c>
      <c r="D56">
        <v>-0.65808164887734</v>
      </c>
      <c r="E56">
        <v>-1.12185975112486</v>
      </c>
      <c r="G56" t="str">
        <f t="shared" si="2"/>
        <v>keep</v>
      </c>
      <c r="H56" t="str">
        <f t="shared" si="3"/>
        <v/>
      </c>
      <c r="I56" t="str">
        <f t="shared" si="7"/>
        <v>keep</v>
      </c>
      <c r="J56">
        <f t="shared" si="0"/>
        <v>0</v>
      </c>
      <c r="K56">
        <f t="shared" si="1"/>
        <v>0</v>
      </c>
      <c r="L56">
        <f t="shared" si="5"/>
        <v>0</v>
      </c>
      <c r="M56">
        <f>IF(I56="sell",N55+(N55*E56/100),IF(I56="buy",0,M55))</f>
        <v>1000</v>
      </c>
      <c r="N56">
        <f>IF(I56="buy",M55,IF(I56="sell",0,IF(AND(I56="keep",N55&lt;&gt;0),N55+(N55*E55/100),N55)))</f>
        <v>0</v>
      </c>
      <c r="O56">
        <f>O55+(O55*E56/100)</f>
        <v>1109.7806080636215</v>
      </c>
    </row>
    <row r="57" spans="1:15" x14ac:dyDescent="0.25">
      <c r="A57" s="1">
        <v>45135</v>
      </c>
      <c r="B57">
        <v>0.771049645921428</v>
      </c>
      <c r="C57">
        <v>1.84934562121654</v>
      </c>
      <c r="D57">
        <v>1.3507793142035001</v>
      </c>
      <c r="E57">
        <v>-0.66510038838296603</v>
      </c>
      <c r="G57" t="str">
        <f t="shared" si="2"/>
        <v>keep</v>
      </c>
      <c r="H57" t="str">
        <f t="shared" si="3"/>
        <v/>
      </c>
      <c r="I57" t="str">
        <f t="shared" si="7"/>
        <v>keep</v>
      </c>
      <c r="J57">
        <f t="shared" si="0"/>
        <v>0</v>
      </c>
      <c r="K57">
        <f t="shared" si="1"/>
        <v>0</v>
      </c>
      <c r="L57">
        <f t="shared" si="5"/>
        <v>0</v>
      </c>
      <c r="M57">
        <f>IF(I57="sell",N56+(N56*E57/100),IF(I57="buy",0,M56))</f>
        <v>1000</v>
      </c>
      <c r="N57">
        <f>IF(I57="buy",M56,IF(I57="sell",0,IF(AND(I57="keep",N56&lt;&gt;0),N56+(N56*E56/100),N56)))</f>
        <v>0</v>
      </c>
      <c r="O57">
        <f>O56+(O56*E57/100)</f>
        <v>1102.3994529291915</v>
      </c>
    </row>
    <row r="58" spans="1:15" x14ac:dyDescent="0.25">
      <c r="A58" s="1">
        <v>45138</v>
      </c>
      <c r="B58">
        <v>0.515199727614579</v>
      </c>
      <c r="C58">
        <v>3.8539391772007797E-2</v>
      </c>
      <c r="D58">
        <v>0.31659315980856401</v>
      </c>
      <c r="E58">
        <v>1.53604570787975</v>
      </c>
      <c r="G58" t="str">
        <f t="shared" si="2"/>
        <v>keep</v>
      </c>
      <c r="H58" t="str">
        <f t="shared" si="3"/>
        <v/>
      </c>
      <c r="I58" t="str">
        <f t="shared" si="7"/>
        <v>keep</v>
      </c>
      <c r="J58">
        <f t="shared" si="0"/>
        <v>0</v>
      </c>
      <c r="K58">
        <f t="shared" si="1"/>
        <v>0</v>
      </c>
      <c r="L58">
        <f t="shared" si="5"/>
        <v>0</v>
      </c>
      <c r="M58">
        <f>IF(I58="sell",N57+(N57*E58/100),IF(I58="buy",0,M57))</f>
        <v>1000</v>
      </c>
      <c r="N58">
        <f>IF(I58="buy",M57,IF(I58="sell",0,IF(AND(I58="keep",N57&lt;&gt;0),N57+(N57*E57/100),N57)))</f>
        <v>0</v>
      </c>
      <c r="O58">
        <f>O57+(O57*E58/100)</f>
        <v>1119.3328124096001</v>
      </c>
    </row>
    <row r="59" spans="1:15" x14ac:dyDescent="0.25">
      <c r="A59" s="1">
        <v>45139</v>
      </c>
      <c r="B59">
        <v>-1.5123089991436101</v>
      </c>
      <c r="C59">
        <v>-0.247447067176498</v>
      </c>
      <c r="D59">
        <v>-0.427589633447433</v>
      </c>
      <c r="E59">
        <v>-0.81459030607355898</v>
      </c>
      <c r="G59" t="str">
        <f t="shared" si="2"/>
        <v>keep</v>
      </c>
      <c r="H59" t="str">
        <f t="shared" si="3"/>
        <v/>
      </c>
      <c r="I59" t="str">
        <f t="shared" si="7"/>
        <v>keep</v>
      </c>
      <c r="J59">
        <f t="shared" si="0"/>
        <v>0</v>
      </c>
      <c r="K59">
        <f t="shared" si="1"/>
        <v>0</v>
      </c>
      <c r="L59">
        <f t="shared" si="5"/>
        <v>0</v>
      </c>
      <c r="M59">
        <f>IF(I59="sell",N58+(N58*E59/100),IF(I59="buy",0,M58))</f>
        <v>1000</v>
      </c>
      <c r="N59">
        <f>IF(I59="buy",M58,IF(I59="sell",0,IF(AND(I59="keep",N58&lt;&gt;0),N58+(N58*E58/100),N58)))</f>
        <v>0</v>
      </c>
      <c r="O59">
        <f>O58+(O58*E59/100)</f>
        <v>1110.214835827011</v>
      </c>
    </row>
    <row r="60" spans="1:15" x14ac:dyDescent="0.25">
      <c r="A60" s="1">
        <v>45140</v>
      </c>
      <c r="B60">
        <v>-0.17003796778681801</v>
      </c>
      <c r="C60">
        <v>-2.2093734284951898</v>
      </c>
      <c r="D60">
        <v>-1.5489884136351899</v>
      </c>
      <c r="E60">
        <v>-1.6034406334634399</v>
      </c>
      <c r="G60" t="str">
        <f t="shared" si="2"/>
        <v>keep</v>
      </c>
      <c r="H60" t="str">
        <f t="shared" si="3"/>
        <v/>
      </c>
      <c r="I60" t="str">
        <f t="shared" si="7"/>
        <v>keep</v>
      </c>
      <c r="J60">
        <f t="shared" si="0"/>
        <v>0</v>
      </c>
      <c r="K60">
        <f t="shared" si="1"/>
        <v>0</v>
      </c>
      <c r="L60">
        <f t="shared" si="5"/>
        <v>0</v>
      </c>
      <c r="M60">
        <f>IF(I60="sell",N59+(N59*E60/100),IF(I60="buy",0,M59))</f>
        <v>1000</v>
      </c>
      <c r="N60">
        <f>IF(I60="buy",M59,IF(I60="sell",0,IF(AND(I60="keep",N59&lt;&gt;0),N59+(N59*E59/100),N59)))</f>
        <v>0</v>
      </c>
      <c r="O60">
        <f>O59+(O59*E60/100)</f>
        <v>1092.4132000306213</v>
      </c>
    </row>
    <row r="61" spans="1:15" x14ac:dyDescent="0.25">
      <c r="A61" s="1">
        <v>45141</v>
      </c>
      <c r="B61">
        <v>-0.27872531981079002</v>
      </c>
      <c r="C61">
        <v>-0.111902192413826</v>
      </c>
      <c r="D61">
        <v>-0.73218307078862699</v>
      </c>
      <c r="E61">
        <v>-1.2917408755385</v>
      </c>
      <c r="G61" t="str">
        <f t="shared" si="2"/>
        <v>keep</v>
      </c>
      <c r="H61" t="str">
        <f t="shared" si="3"/>
        <v/>
      </c>
      <c r="I61" t="str">
        <f t="shared" si="7"/>
        <v>keep</v>
      </c>
      <c r="J61">
        <f t="shared" si="0"/>
        <v>0</v>
      </c>
      <c r="K61">
        <f t="shared" si="1"/>
        <v>0</v>
      </c>
      <c r="L61">
        <f t="shared" si="5"/>
        <v>0</v>
      </c>
      <c r="M61">
        <f>IF(I61="sell",N60+(N60*E61/100),IF(I61="buy",0,M60))</f>
        <v>1000</v>
      </c>
      <c r="N61">
        <f>IF(I61="buy",M60,IF(I61="sell",0,IF(AND(I61="keep",N60&lt;&gt;0),N60+(N60*E60/100),N60)))</f>
        <v>0</v>
      </c>
      <c r="O61">
        <f>O60+(O60*E61/100)</f>
        <v>1078.3020521960475</v>
      </c>
    </row>
    <row r="62" spans="1:15" x14ac:dyDescent="0.25">
      <c r="A62" s="1">
        <v>45142</v>
      </c>
      <c r="B62">
        <v>0.39337347753298701</v>
      </c>
      <c r="C62">
        <v>-0.51206508067503897</v>
      </c>
      <c r="D62">
        <v>-4.8019919441013403</v>
      </c>
      <c r="E62">
        <v>1.4294456259219701</v>
      </c>
      <c r="F62" s="3">
        <v>-1.40155578341122</v>
      </c>
      <c r="G62" t="str">
        <f t="shared" si="2"/>
        <v>sell</v>
      </c>
      <c r="H62">
        <f t="shared" si="3"/>
        <v>0</v>
      </c>
      <c r="I62" t="str">
        <f t="shared" si="7"/>
        <v>keep</v>
      </c>
      <c r="J62">
        <f t="shared" si="0"/>
        <v>0</v>
      </c>
      <c r="K62">
        <f t="shared" si="1"/>
        <v>0</v>
      </c>
      <c r="L62">
        <f t="shared" si="5"/>
        <v>0</v>
      </c>
      <c r="M62">
        <f>IF(I62="sell",N61+(N61*E62/100),IF(I62="buy",0,M61))</f>
        <v>1000</v>
      </c>
      <c r="N62">
        <f>IF(I62="buy",M61,IF(I62="sell",0,IF(AND(I62="keep",N61&lt;&gt;0),N61+(N61*E61/100),N61)))</f>
        <v>0</v>
      </c>
      <c r="O62">
        <f>O61+(O61*E62/100)</f>
        <v>1093.7157937153906</v>
      </c>
    </row>
    <row r="63" spans="1:15" x14ac:dyDescent="0.25">
      <c r="A63" s="1">
        <v>45145</v>
      </c>
      <c r="B63">
        <v>-0.31449657984733398</v>
      </c>
      <c r="C63">
        <v>0.87024801556985198</v>
      </c>
      <c r="D63">
        <v>-1.72536901333485</v>
      </c>
      <c r="E63">
        <v>0.23818781616846599</v>
      </c>
      <c r="F63" s="3">
        <v>-0.54593943667646305</v>
      </c>
      <c r="G63" t="str">
        <f t="shared" si="2"/>
        <v>sell</v>
      </c>
      <c r="H63">
        <f t="shared" si="3"/>
        <v>1</v>
      </c>
      <c r="I63" t="str">
        <f t="shared" si="7"/>
        <v>keep</v>
      </c>
      <c r="J63">
        <f>IF(I63="buy",1,0)</f>
        <v>0</v>
      </c>
      <c r="K63">
        <f>IF(I63="sell",1,0)</f>
        <v>0</v>
      </c>
      <c r="L63">
        <f t="shared" si="5"/>
        <v>0</v>
      </c>
      <c r="M63">
        <f>IF(I63="sell",N62+(N62*E63/100),IF(I63="buy",0,M62))</f>
        <v>1000</v>
      </c>
      <c r="N63">
        <f>IF(I63="buy",M62,IF(I63="sell",0,IF(AND(I63="keep",N62&lt;&gt;0),N62+(N62*E62/100),N62)))</f>
        <v>0</v>
      </c>
      <c r="O63">
        <f>O62+(O62*E63/100)</f>
        <v>1096.3208914795309</v>
      </c>
    </row>
    <row r="64" spans="1:15" x14ac:dyDescent="0.25">
      <c r="A64" s="1">
        <v>45146</v>
      </c>
      <c r="B64">
        <v>-0.48616624846457002</v>
      </c>
      <c r="C64">
        <v>-0.87487746898490204</v>
      </c>
      <c r="D64">
        <v>0.53116689453454002</v>
      </c>
      <c r="E64">
        <v>-0.43564410816292398</v>
      </c>
      <c r="F64" s="3">
        <v>6.1206341164614202E-2</v>
      </c>
      <c r="G64" t="str">
        <f t="shared" si="2"/>
        <v>keep</v>
      </c>
      <c r="H64">
        <f t="shared" si="3"/>
        <v>1</v>
      </c>
      <c r="I64" t="str">
        <f t="shared" si="7"/>
        <v>keep</v>
      </c>
      <c r="J64">
        <f t="shared" ref="J64:J127" si="8">IF(I64="buy",1,0)</f>
        <v>0</v>
      </c>
      <c r="K64">
        <f t="shared" ref="K64:K127" si="9">IF(I64="sell",1,0)</f>
        <v>0</v>
      </c>
      <c r="L64">
        <f t="shared" si="5"/>
        <v>0</v>
      </c>
      <c r="M64">
        <f>IF(I64="sell",N63+(N63*E64/100),IF(I64="buy",0,M63))</f>
        <v>1000</v>
      </c>
      <c r="N64">
        <f>IF(I64="buy",M63,IF(I64="sell",0,IF(AND(I64="keep",N63&lt;&gt;0),N63+(N63*E63/100),N63)))</f>
        <v>0</v>
      </c>
      <c r="O64">
        <f>O63+(O63*E64/100)</f>
        <v>1091.544834109241</v>
      </c>
    </row>
    <row r="65" spans="1:15" x14ac:dyDescent="0.25">
      <c r="A65" s="1">
        <v>45147</v>
      </c>
      <c r="B65">
        <v>-0.45215691919675499</v>
      </c>
      <c r="C65">
        <v>-1.1218443332608901</v>
      </c>
      <c r="D65">
        <v>-0.89544344111815999</v>
      </c>
      <c r="E65">
        <v>0.19888872525526399</v>
      </c>
      <c r="F65" s="3">
        <v>-0.24919086719195599</v>
      </c>
      <c r="G65" t="str">
        <f t="shared" si="2"/>
        <v>sell</v>
      </c>
      <c r="H65">
        <f t="shared" si="3"/>
        <v>0</v>
      </c>
      <c r="I65" t="str">
        <f t="shared" si="7"/>
        <v>keep</v>
      </c>
      <c r="J65">
        <f t="shared" si="8"/>
        <v>0</v>
      </c>
      <c r="K65">
        <f t="shared" si="9"/>
        <v>0</v>
      </c>
      <c r="L65">
        <f t="shared" si="5"/>
        <v>0</v>
      </c>
      <c r="M65">
        <f>IF(I65="sell",N64+(N64*E65/100),IF(I65="buy",0,M64))</f>
        <v>1000</v>
      </c>
      <c r="N65">
        <f>IF(I65="buy",M64,IF(I65="sell",0,IF(AND(I65="keep",N64&lt;&gt;0),N64+(N64*E64/100),N64)))</f>
        <v>0</v>
      </c>
      <c r="O65">
        <f>O64+(O64*E65/100)</f>
        <v>1093.7157937153906</v>
      </c>
    </row>
    <row r="66" spans="1:15" x14ac:dyDescent="0.25">
      <c r="A66" s="1">
        <v>45148</v>
      </c>
      <c r="B66">
        <v>-5.2208415331200797E-2</v>
      </c>
      <c r="C66">
        <v>0.17964775434486899</v>
      </c>
      <c r="D66">
        <v>-0.12345502459090101</v>
      </c>
      <c r="E66">
        <v>2.1040046652794602</v>
      </c>
      <c r="F66" s="3">
        <v>0.15746954535122801</v>
      </c>
      <c r="G66" t="str">
        <f t="shared" si="2"/>
        <v>buy</v>
      </c>
      <c r="H66">
        <f t="shared" si="3"/>
        <v>0</v>
      </c>
      <c r="I66" t="str">
        <f t="shared" si="7"/>
        <v>buy</v>
      </c>
      <c r="J66">
        <f t="shared" si="8"/>
        <v>1</v>
      </c>
      <c r="K66">
        <f t="shared" si="9"/>
        <v>0</v>
      </c>
      <c r="L66">
        <f t="shared" si="5"/>
        <v>0</v>
      </c>
      <c r="M66">
        <f>IF(I66="sell",N65+(N65*E66/100),IF(I66="buy",0,M65))</f>
        <v>0</v>
      </c>
      <c r="N66">
        <f>IF(I66="buy",M65,IF(I66="sell",0,IF(AND(I66="keep",N65&lt;&gt;0),N65+(N65*E65/100),N65)))</f>
        <v>1000</v>
      </c>
      <c r="O66">
        <f>O65+(O65*E66/100)</f>
        <v>1116.7276250400607</v>
      </c>
    </row>
    <row r="67" spans="1:15" x14ac:dyDescent="0.25">
      <c r="A67" s="1">
        <v>45149</v>
      </c>
      <c r="B67">
        <v>-7.83535301332349E-2</v>
      </c>
      <c r="C67">
        <v>-0.66607573542151099</v>
      </c>
      <c r="D67">
        <v>3.3739570606683401E-2</v>
      </c>
      <c r="E67">
        <v>-2.8965811415110001</v>
      </c>
      <c r="F67" s="3">
        <v>0.24558488807103299</v>
      </c>
      <c r="G67" t="str">
        <f t="shared" ref="G67:G130" si="10">IF(F67&gt;$R$2,"buy",IF(F67&lt;-$R$3,"sell","keep"))</f>
        <v>buy</v>
      </c>
      <c r="H67">
        <f t="shared" ref="H67:H130" si="11">IF(F67&lt;&gt;"",IF(OR(AND(F67&lt;0,E68&lt;0),AND(F67&gt;0,E68&gt;0)),1,0),"")</f>
        <v>1</v>
      </c>
      <c r="I67" t="str">
        <f t="shared" ref="I67:I130" si="12">IF(AND(G67="sell",N66&lt;&gt;0),"sell",IF(AND(G67="buy",M66&lt;&gt;0),"buy","keep"))</f>
        <v>keep</v>
      </c>
      <c r="J67">
        <f t="shared" si="8"/>
        <v>0</v>
      </c>
      <c r="K67">
        <f t="shared" si="9"/>
        <v>0</v>
      </c>
      <c r="L67">
        <f t="shared" ref="L67:L130" si="13">IF(AND(H67=1,OR(J67=1,K67=1)),1,0)</f>
        <v>0</v>
      </c>
      <c r="M67">
        <f>IF(I67="sell",N66+(N66*E67/100),IF(I67="buy",0,M66))</f>
        <v>0</v>
      </c>
      <c r="N67">
        <f>IF(I67="buy",M66,IF(I67="sell",0,IF(AND(I67="keep",N66&lt;&gt;0),N66+(N66*E66/100),N66)))</f>
        <v>1021.0400466527946</v>
      </c>
      <c r="O67">
        <f>O66+(O66*E67/100)</f>
        <v>1084.3807032511068</v>
      </c>
    </row>
    <row r="68" spans="1:15" x14ac:dyDescent="0.25">
      <c r="A68" s="1">
        <v>45152</v>
      </c>
      <c r="B68">
        <v>-0.120238841485165</v>
      </c>
      <c r="C68">
        <v>1.1812529989452001</v>
      </c>
      <c r="D68">
        <v>0.93932317549181299</v>
      </c>
      <c r="E68">
        <v>0.14014520563747601</v>
      </c>
      <c r="F68" s="3">
        <v>0.20715000090357999</v>
      </c>
      <c r="G68" t="str">
        <f t="shared" si="10"/>
        <v>buy</v>
      </c>
      <c r="H68">
        <f t="shared" si="11"/>
        <v>0</v>
      </c>
      <c r="I68" t="str">
        <f t="shared" si="12"/>
        <v>keep</v>
      </c>
      <c r="J68">
        <f t="shared" si="8"/>
        <v>0</v>
      </c>
      <c r="K68">
        <f t="shared" si="9"/>
        <v>0</v>
      </c>
      <c r="L68">
        <f t="shared" si="13"/>
        <v>0</v>
      </c>
      <c r="M68">
        <f>IF(I68="sell",N67+(N67*E68/100),IF(I68="buy",0,M67))</f>
        <v>0</v>
      </c>
      <c r="N68">
        <f>IF(I68="buy",M67,IF(I68="sell",0,IF(AND(I68="keep",N67&lt;&gt;0),N67+(N67*E67/100),N67)))</f>
        <v>991.46479321417462</v>
      </c>
      <c r="O68">
        <f>O67+(O67*E68/100)</f>
        <v>1085.9004108175711</v>
      </c>
    </row>
    <row r="69" spans="1:15" x14ac:dyDescent="0.25">
      <c r="A69" s="1">
        <v>45153</v>
      </c>
      <c r="B69">
        <v>-0.42394931903280098</v>
      </c>
      <c r="C69">
        <v>-1.10445865534133</v>
      </c>
      <c r="D69">
        <v>-1.12003296054763</v>
      </c>
      <c r="E69">
        <v>-1.97920667028972</v>
      </c>
      <c r="F69" s="3">
        <v>-0.230769174474205</v>
      </c>
      <c r="G69" t="str">
        <f t="shared" si="10"/>
        <v>sell</v>
      </c>
      <c r="H69">
        <f t="shared" si="11"/>
        <v>1</v>
      </c>
      <c r="I69" t="str">
        <f t="shared" si="12"/>
        <v>sell</v>
      </c>
      <c r="J69">
        <f t="shared" si="8"/>
        <v>0</v>
      </c>
      <c r="K69">
        <f t="shared" si="9"/>
        <v>1</v>
      </c>
      <c r="L69">
        <f t="shared" si="13"/>
        <v>1</v>
      </c>
      <c r="M69">
        <f>IF(I69="sell",N68+(N68*E69/100),IF(I69="buy",0,M68))</f>
        <v>971.84165589330553</v>
      </c>
      <c r="N69">
        <f>IF(I69="buy",M68,IF(I69="sell",0,IF(AND(I69="keep",N68&lt;&gt;0),N68+(N68*E68/100),N68)))</f>
        <v>0</v>
      </c>
      <c r="O69">
        <f>O68+(O68*E69/100)</f>
        <v>1064.4081974539663</v>
      </c>
    </row>
    <row r="70" spans="1:15" x14ac:dyDescent="0.25">
      <c r="A70" s="1">
        <v>45154</v>
      </c>
      <c r="B70">
        <v>-0.336400757637977</v>
      </c>
      <c r="C70">
        <v>-1.07184739554117</v>
      </c>
      <c r="D70">
        <v>-0.49589736302199</v>
      </c>
      <c r="E70">
        <v>-2.03976145818907E-2</v>
      </c>
      <c r="F70" s="3">
        <v>-8.0892484474727102E-3</v>
      </c>
      <c r="G70" t="str">
        <f t="shared" si="10"/>
        <v>keep</v>
      </c>
      <c r="H70">
        <f t="shared" si="11"/>
        <v>1</v>
      </c>
      <c r="I70" t="str">
        <f t="shared" si="12"/>
        <v>keep</v>
      </c>
      <c r="J70">
        <f t="shared" si="8"/>
        <v>0</v>
      </c>
      <c r="K70">
        <f t="shared" si="9"/>
        <v>0</v>
      </c>
      <c r="L70">
        <f t="shared" si="13"/>
        <v>0</v>
      </c>
      <c r="M70">
        <f>IF(I70="sell",N69+(N69*E70/100),IF(I70="buy",0,M69))</f>
        <v>971.84165589330553</v>
      </c>
      <c r="N70">
        <f>IF(I70="buy",M69,IF(I70="sell",0,IF(AND(I70="keep",N69&lt;&gt;0),N69+(N69*E69/100),N69)))</f>
        <v>0</v>
      </c>
      <c r="O70">
        <f>O69+(O69*E70/100)</f>
        <v>1064.1910835722715</v>
      </c>
    </row>
    <row r="71" spans="1:15" x14ac:dyDescent="0.25">
      <c r="A71" s="1">
        <v>45155</v>
      </c>
      <c r="B71">
        <v>-0.63287802091194201</v>
      </c>
      <c r="C71">
        <v>-1.0799615715490201</v>
      </c>
      <c r="D71">
        <v>-1.4555110561783999</v>
      </c>
      <c r="E71">
        <v>-1.5911869716261999</v>
      </c>
      <c r="F71" s="3">
        <v>-0.50895250077132903</v>
      </c>
      <c r="G71" t="str">
        <f t="shared" si="10"/>
        <v>sell</v>
      </c>
      <c r="H71">
        <f t="shared" si="11"/>
        <v>1</v>
      </c>
      <c r="I71" t="str">
        <f t="shared" si="12"/>
        <v>keep</v>
      </c>
      <c r="J71">
        <f t="shared" si="8"/>
        <v>0</v>
      </c>
      <c r="K71">
        <f t="shared" si="9"/>
        <v>0</v>
      </c>
      <c r="L71">
        <f t="shared" si="13"/>
        <v>0</v>
      </c>
      <c r="M71">
        <f>IF(I71="sell",N70+(N70*E71/100),IF(I71="buy",0,M70))</f>
        <v>971.84165589330553</v>
      </c>
      <c r="N71">
        <f>IF(I71="buy",M70,IF(I71="sell",0,IF(AND(I71="keep",N70&lt;&gt;0),N70+(N70*E70/100),N70)))</f>
        <v>0</v>
      </c>
      <c r="O71">
        <f>O70+(O70*E71/100)</f>
        <v>1047.2578136972618</v>
      </c>
    </row>
    <row r="72" spans="1:15" x14ac:dyDescent="0.25">
      <c r="A72" s="1">
        <v>45156</v>
      </c>
      <c r="B72">
        <v>0.10615147953483201</v>
      </c>
      <c r="C72">
        <v>-0.14249794727436699</v>
      </c>
      <c r="D72">
        <v>0.281606046171334</v>
      </c>
      <c r="E72">
        <v>-2.1558868190222298</v>
      </c>
      <c r="F72" s="3">
        <v>0.29341618845176198</v>
      </c>
      <c r="G72" t="str">
        <f t="shared" si="10"/>
        <v>buy</v>
      </c>
      <c r="H72">
        <f t="shared" si="11"/>
        <v>0</v>
      </c>
      <c r="I72" t="str">
        <f t="shared" si="12"/>
        <v>buy</v>
      </c>
      <c r="J72">
        <f t="shared" si="8"/>
        <v>1</v>
      </c>
      <c r="K72">
        <f t="shared" si="9"/>
        <v>0</v>
      </c>
      <c r="L72">
        <f t="shared" si="13"/>
        <v>0</v>
      </c>
      <c r="M72">
        <f>IF(I72="sell",N71+(N71*E72/100),IF(I72="buy",0,M71))</f>
        <v>0</v>
      </c>
      <c r="N72">
        <f>IF(I72="buy",M71,IF(I72="sell",0,IF(AND(I72="keep",N71&lt;&gt;0),N71+(N71*E71/100),N71)))</f>
        <v>971.84165589330553</v>
      </c>
      <c r="O72">
        <f>O71+(O71*E72/100)</f>
        <v>1024.6801205305821</v>
      </c>
    </row>
    <row r="73" spans="1:15" x14ac:dyDescent="0.25">
      <c r="A73" s="1">
        <v>45159</v>
      </c>
      <c r="B73">
        <v>0.38174398681865002</v>
      </c>
      <c r="C73">
        <v>1.64581981504454</v>
      </c>
      <c r="D73">
        <v>0.77367828560033203</v>
      </c>
      <c r="E73">
        <v>-1.27119359207966</v>
      </c>
      <c r="F73" s="3">
        <v>0.401423561118607</v>
      </c>
      <c r="G73" t="str">
        <f t="shared" si="10"/>
        <v>buy</v>
      </c>
      <c r="H73">
        <f t="shared" si="11"/>
        <v>1</v>
      </c>
      <c r="I73" t="str">
        <f t="shared" si="12"/>
        <v>keep</v>
      </c>
      <c r="J73">
        <f t="shared" si="8"/>
        <v>0</v>
      </c>
      <c r="K73">
        <f t="shared" si="9"/>
        <v>0</v>
      </c>
      <c r="L73">
        <f t="shared" si="13"/>
        <v>0</v>
      </c>
      <c r="M73">
        <f>IF(I73="sell",N72+(N72*E73/100),IF(I73="buy",0,M72))</f>
        <v>0</v>
      </c>
      <c r="N73">
        <f>IF(I73="buy",M72,IF(I73="sell",0,IF(AND(I73="keep",N72&lt;&gt;0),N72+(N72*E72/100),N72)))</f>
        <v>950.88984973213439</v>
      </c>
      <c r="O73">
        <f>O72+(O72*E73/100)</f>
        <v>1011.6544524990833</v>
      </c>
    </row>
    <row r="74" spans="1:15" x14ac:dyDescent="0.25">
      <c r="A74" s="1">
        <v>45160</v>
      </c>
      <c r="B74">
        <v>0.16373398330899999</v>
      </c>
      <c r="C74">
        <v>-0.18565336732750901</v>
      </c>
      <c r="D74">
        <v>0.79049081406590205</v>
      </c>
      <c r="E74">
        <v>0.75108240790653302</v>
      </c>
      <c r="F74" s="3">
        <v>0.43587953704629501</v>
      </c>
      <c r="G74" t="str">
        <f t="shared" si="10"/>
        <v>buy</v>
      </c>
      <c r="H74">
        <f t="shared" si="11"/>
        <v>1</v>
      </c>
      <c r="I74" t="str">
        <f t="shared" si="12"/>
        <v>keep</v>
      </c>
      <c r="J74">
        <f t="shared" si="8"/>
        <v>0</v>
      </c>
      <c r="K74">
        <f t="shared" si="9"/>
        <v>0</v>
      </c>
      <c r="L74">
        <f t="shared" si="13"/>
        <v>0</v>
      </c>
      <c r="M74">
        <f>IF(I74="sell",N73+(N73*E74/100),IF(I74="buy",0,M73))</f>
        <v>0</v>
      </c>
      <c r="N74">
        <f>IF(I74="buy",M73,IF(I74="sell",0,IF(AND(I74="keep",N73&lt;&gt;0),N73+(N73*E73/100),N73)))</f>
        <v>938.80219889460363</v>
      </c>
      <c r="O74">
        <f>O73+(O73*E74/100)</f>
        <v>1019.252811120607</v>
      </c>
    </row>
    <row r="75" spans="1:15" x14ac:dyDescent="0.25">
      <c r="A75" s="1">
        <v>45161</v>
      </c>
      <c r="B75">
        <v>1.1653646541565299</v>
      </c>
      <c r="C75">
        <v>1.6037309778915201</v>
      </c>
      <c r="D75">
        <v>2.19488193601644</v>
      </c>
      <c r="E75">
        <v>1.15015476174569</v>
      </c>
      <c r="F75" s="3">
        <v>1.36735025054904</v>
      </c>
      <c r="G75" t="str">
        <f t="shared" si="10"/>
        <v>buy</v>
      </c>
      <c r="H75">
        <f t="shared" si="11"/>
        <v>1</v>
      </c>
      <c r="I75" t="str">
        <f t="shared" si="12"/>
        <v>keep</v>
      </c>
      <c r="J75">
        <f t="shared" si="8"/>
        <v>0</v>
      </c>
      <c r="K75">
        <f t="shared" si="9"/>
        <v>0</v>
      </c>
      <c r="L75">
        <f t="shared" si="13"/>
        <v>0</v>
      </c>
      <c r="M75">
        <f>IF(I75="sell",N74+(N74*E75/100),IF(I75="buy",0,M74))</f>
        <v>0</v>
      </c>
      <c r="N75">
        <f>IF(I75="buy",M74,IF(I75="sell",0,IF(AND(I75="keep",N74&lt;&gt;0),N74+(N74*E74/100),N74)))</f>
        <v>945.8533770555407</v>
      </c>
      <c r="O75">
        <f>O74+(O74*E75/100)</f>
        <v>1030.9757958619375</v>
      </c>
    </row>
    <row r="76" spans="1:15" x14ac:dyDescent="0.25">
      <c r="A76" s="1">
        <v>45162</v>
      </c>
      <c r="B76">
        <v>-1.5639761695329601E-2</v>
      </c>
      <c r="C76">
        <v>-2.1891856120959199</v>
      </c>
      <c r="D76">
        <v>-2.6170450890584198</v>
      </c>
      <c r="E76">
        <v>0.14739608506473201</v>
      </c>
      <c r="F76" s="3">
        <v>-0.30937693897615398</v>
      </c>
      <c r="G76" t="str">
        <f t="shared" si="10"/>
        <v>sell</v>
      </c>
      <c r="H76">
        <f t="shared" si="11"/>
        <v>1</v>
      </c>
      <c r="I76" t="str">
        <f t="shared" si="12"/>
        <v>sell</v>
      </c>
      <c r="J76">
        <f t="shared" si="8"/>
        <v>0</v>
      </c>
      <c r="K76">
        <f t="shared" si="9"/>
        <v>1</v>
      </c>
      <c r="L76">
        <f t="shared" si="13"/>
        <v>1</v>
      </c>
      <c r="M76">
        <f>IF(I76="sell",N75+(N75*E76/100),IF(I76="buy",0,M75))</f>
        <v>947.24752790377318</v>
      </c>
      <c r="N76">
        <f>IF(I76="buy",M75,IF(I76="sell",0,IF(AND(I76="keep",N75&lt;&gt;0),N75+(N75*E75/100),N75)))</f>
        <v>0</v>
      </c>
      <c r="O76">
        <f>O75+(O75*E76/100)</f>
        <v>1032.495413823003</v>
      </c>
    </row>
    <row r="77" spans="1:15" x14ac:dyDescent="0.25">
      <c r="A77" s="1">
        <v>45163</v>
      </c>
      <c r="B77">
        <v>-0.37013740833430298</v>
      </c>
      <c r="C77">
        <v>0.84628726469455595</v>
      </c>
      <c r="D77">
        <v>1.26432861753598</v>
      </c>
      <c r="E77">
        <v>-1.1564398319420399</v>
      </c>
      <c r="F77" s="3">
        <v>7.6388700913303298E-2</v>
      </c>
      <c r="G77" t="str">
        <f t="shared" si="10"/>
        <v>keep</v>
      </c>
      <c r="H77">
        <f t="shared" si="11"/>
        <v>1</v>
      </c>
      <c r="I77" t="str">
        <f t="shared" si="12"/>
        <v>keep</v>
      </c>
      <c r="J77">
        <f t="shared" si="8"/>
        <v>0</v>
      </c>
      <c r="K77">
        <f t="shared" si="9"/>
        <v>0</v>
      </c>
      <c r="L77">
        <f t="shared" si="13"/>
        <v>0</v>
      </c>
      <c r="M77">
        <f>IF(I77="sell",N76+(N76*E77/100),IF(I77="buy",0,M76))</f>
        <v>947.24752790377318</v>
      </c>
      <c r="N77">
        <f>IF(I77="buy",M76,IF(I77="sell",0,IF(AND(I77="keep",N76&lt;&gt;0),N76+(N76*E76/100),N76)))</f>
        <v>0</v>
      </c>
      <c r="O77">
        <f>O76+(O76*E77/100)</f>
        <v>1020.555225594579</v>
      </c>
    </row>
    <row r="78" spans="1:15" x14ac:dyDescent="0.25">
      <c r="A78" s="1">
        <v>45166</v>
      </c>
      <c r="B78">
        <v>0.35581858170658998</v>
      </c>
      <c r="C78">
        <v>0.74040383429645396</v>
      </c>
      <c r="D78">
        <v>0.88459865573680097</v>
      </c>
      <c r="E78">
        <v>1.6805041934023299</v>
      </c>
      <c r="F78" s="3">
        <v>0.50380119454574701</v>
      </c>
      <c r="G78" t="str">
        <f t="shared" si="10"/>
        <v>buy</v>
      </c>
      <c r="H78">
        <f t="shared" si="11"/>
        <v>1</v>
      </c>
      <c r="I78" t="str">
        <f t="shared" si="12"/>
        <v>buy</v>
      </c>
      <c r="J78">
        <f t="shared" si="8"/>
        <v>1</v>
      </c>
      <c r="K78">
        <f t="shared" si="9"/>
        <v>0</v>
      </c>
      <c r="L78">
        <f t="shared" si="13"/>
        <v>1</v>
      </c>
      <c r="M78">
        <f>IF(I78="sell",N77+(N77*E78/100),IF(I78="buy",0,M77))</f>
        <v>0</v>
      </c>
      <c r="N78">
        <f>IF(I78="buy",M77,IF(I78="sell",0,IF(AND(I78="keep",N77&lt;&gt;0),N77+(N77*E77/100),N77)))</f>
        <v>947.24752790377318</v>
      </c>
      <c r="O78">
        <f>O77+(O77*E78/100)</f>
        <v>1037.7056989566825</v>
      </c>
    </row>
    <row r="79" spans="1:15" x14ac:dyDescent="0.25">
      <c r="A79" s="1">
        <v>45167</v>
      </c>
      <c r="B79">
        <v>0.96980944518314505</v>
      </c>
      <c r="C79">
        <v>2.1530689640832201</v>
      </c>
      <c r="D79">
        <v>2.1810294408288899</v>
      </c>
      <c r="E79">
        <v>2.05020551619792</v>
      </c>
      <c r="F79" s="3">
        <v>1.1878921220037</v>
      </c>
      <c r="G79" t="str">
        <f t="shared" si="10"/>
        <v>buy</v>
      </c>
      <c r="H79">
        <f t="shared" si="11"/>
        <v>0</v>
      </c>
      <c r="I79" t="str">
        <f t="shared" si="12"/>
        <v>keep</v>
      </c>
      <c r="J79">
        <f t="shared" si="8"/>
        <v>0</v>
      </c>
      <c r="K79">
        <f t="shared" si="9"/>
        <v>0</v>
      </c>
      <c r="L79">
        <f t="shared" si="13"/>
        <v>0</v>
      </c>
      <c r="M79">
        <f>IF(I79="sell",N78+(N78*E79/100),IF(I79="buy",0,M78))</f>
        <v>0</v>
      </c>
      <c r="N79">
        <f>IF(I79="buy",M78,IF(I79="sell",0,IF(AND(I79="keep",N78&lt;&gt;0),N78+(N78*E78/100),N78)))</f>
        <v>963.16606233209598</v>
      </c>
      <c r="O79">
        <f>O78+(O78*E79/100)</f>
        <v>1058.9807984385925</v>
      </c>
    </row>
    <row r="80" spans="1:15" x14ac:dyDescent="0.25">
      <c r="A80" s="1">
        <v>45168</v>
      </c>
      <c r="B80">
        <v>0.40279105748128802</v>
      </c>
      <c r="C80">
        <v>0.55851204531149801</v>
      </c>
      <c r="D80">
        <v>1.91721774198951</v>
      </c>
      <c r="E80">
        <v>-4.09958479540617E-2</v>
      </c>
      <c r="F80" s="3">
        <v>0.81673299142034295</v>
      </c>
      <c r="G80" t="str">
        <f t="shared" si="10"/>
        <v>buy</v>
      </c>
      <c r="H80">
        <f t="shared" si="11"/>
        <v>1</v>
      </c>
      <c r="I80" t="str">
        <f t="shared" si="12"/>
        <v>keep</v>
      </c>
      <c r="J80">
        <f t="shared" si="8"/>
        <v>0</v>
      </c>
      <c r="K80">
        <f t="shared" si="9"/>
        <v>0</v>
      </c>
      <c r="L80">
        <f t="shared" si="13"/>
        <v>0</v>
      </c>
      <c r="M80">
        <f>IF(I80="sell",N79+(N79*E80/100),IF(I80="buy",0,M79))</f>
        <v>0</v>
      </c>
      <c r="N80">
        <f>IF(I80="buy",M79,IF(I80="sell",0,IF(AND(I80="keep",N79&lt;&gt;0),N79+(N79*E79/100),N79)))</f>
        <v>982.91294607217492</v>
      </c>
      <c r="O80">
        <f>O79+(O79*E80/100)</f>
        <v>1058.5466602806018</v>
      </c>
    </row>
    <row r="81" spans="1:15" x14ac:dyDescent="0.25">
      <c r="A81" s="1">
        <v>45169</v>
      </c>
      <c r="B81">
        <v>-0.31374260675077698</v>
      </c>
      <c r="C81">
        <v>0.24990008543894701</v>
      </c>
      <c r="D81">
        <v>0.117237582075135</v>
      </c>
      <c r="E81">
        <v>1.29204697198315</v>
      </c>
      <c r="F81" s="3">
        <v>-8.2600029693023602E-2</v>
      </c>
      <c r="G81" t="str">
        <f t="shared" si="10"/>
        <v>keep</v>
      </c>
      <c r="H81">
        <f t="shared" si="11"/>
        <v>1</v>
      </c>
      <c r="I81" t="str">
        <f t="shared" si="12"/>
        <v>keep</v>
      </c>
      <c r="J81">
        <f t="shared" si="8"/>
        <v>0</v>
      </c>
      <c r="K81">
        <f t="shared" si="9"/>
        <v>0</v>
      </c>
      <c r="L81">
        <f t="shared" si="13"/>
        <v>0</v>
      </c>
      <c r="M81">
        <f>IF(I81="sell",N80+(N80*E81/100),IF(I81="buy",0,M80))</f>
        <v>0</v>
      </c>
      <c r="N81">
        <f>IF(I81="buy",M80,IF(I81="sell",0,IF(AND(I81="keep",N80&lt;&gt;0),N80+(N80*E80/100),N80)))</f>
        <v>982.50999257528235</v>
      </c>
      <c r="O81">
        <f>O80+(O80*E81/100)</f>
        <v>1072.223580351786</v>
      </c>
    </row>
    <row r="82" spans="1:15" x14ac:dyDescent="0.25">
      <c r="A82" s="1">
        <v>45170</v>
      </c>
      <c r="B82">
        <v>8.2555860930777394E-2</v>
      </c>
      <c r="C82">
        <v>-6.5866167507588794E-2</v>
      </c>
      <c r="D82">
        <v>0.84634190052039704</v>
      </c>
      <c r="E82">
        <v>-1.6197645674515999</v>
      </c>
      <c r="F82" s="3">
        <v>0.39613873983612402</v>
      </c>
      <c r="G82" t="str">
        <f t="shared" si="10"/>
        <v>buy</v>
      </c>
      <c r="H82">
        <f t="shared" si="11"/>
        <v>1</v>
      </c>
      <c r="I82" t="str">
        <f t="shared" si="12"/>
        <v>keep</v>
      </c>
      <c r="J82">
        <f t="shared" si="8"/>
        <v>0</v>
      </c>
      <c r="K82">
        <f t="shared" si="9"/>
        <v>0</v>
      </c>
      <c r="L82">
        <f t="shared" si="13"/>
        <v>0</v>
      </c>
      <c r="M82">
        <f>IF(I82="sell",N81+(N81*E82/100),IF(I82="buy",0,M81))</f>
        <v>0</v>
      </c>
      <c r="N82">
        <f>IF(I82="buy",M81,IF(I82="sell",0,IF(AND(I82="keep",N81&lt;&gt;0),N81+(N81*E81/100),N81)))</f>
        <v>995.20448318378317</v>
      </c>
      <c r="O82">
        <f>O81+(O81*E82/100)</f>
        <v>1054.856082713387</v>
      </c>
    </row>
    <row r="83" spans="1:15" x14ac:dyDescent="0.25">
      <c r="A83" s="1">
        <v>45175</v>
      </c>
      <c r="B83">
        <v>-0.42051582344862998</v>
      </c>
      <c r="C83">
        <v>-0.88211043045538495</v>
      </c>
      <c r="D83">
        <v>-3.5793332582635302</v>
      </c>
      <c r="E83">
        <v>0.73499632501836598</v>
      </c>
      <c r="F83" s="3">
        <v>-1.0868431202697</v>
      </c>
      <c r="G83" t="str">
        <f t="shared" si="10"/>
        <v>sell</v>
      </c>
      <c r="H83">
        <f t="shared" si="11"/>
        <v>1</v>
      </c>
      <c r="I83" t="str">
        <f t="shared" si="12"/>
        <v>sell</v>
      </c>
      <c r="J83">
        <f t="shared" si="8"/>
        <v>0</v>
      </c>
      <c r="K83">
        <f t="shared" si="9"/>
        <v>1</v>
      </c>
      <c r="L83">
        <f t="shared" si="13"/>
        <v>1</v>
      </c>
      <c r="M83">
        <f>IF(I83="sell",N82+(N82*E83/100),IF(I83="buy",0,M82))</f>
        <v>1002.519199561602</v>
      </c>
      <c r="N83">
        <f>IF(I83="buy",M82,IF(I83="sell",0,IF(AND(I83="keep",N82&lt;&gt;0),N82+(N82*E82/100),N82)))</f>
        <v>0</v>
      </c>
      <c r="O83">
        <f>O82+(O82*E83/100)</f>
        <v>1062.6092361555632</v>
      </c>
    </row>
    <row r="84" spans="1:15" x14ac:dyDescent="0.25">
      <c r="A84" s="1">
        <v>45176</v>
      </c>
      <c r="B84">
        <v>-3.1279682684648397E-2</v>
      </c>
      <c r="C84">
        <v>-0.73461494356384904</v>
      </c>
      <c r="D84">
        <v>-2.9249324945851001</v>
      </c>
      <c r="E84">
        <v>-1.6214060194014599</v>
      </c>
      <c r="F84" s="3">
        <v>-0.72084171224626603</v>
      </c>
      <c r="G84" t="str">
        <f t="shared" si="10"/>
        <v>sell</v>
      </c>
      <c r="H84">
        <f t="shared" si="11"/>
        <v>1</v>
      </c>
      <c r="I84" t="str">
        <f t="shared" si="12"/>
        <v>keep</v>
      </c>
      <c r="J84">
        <f t="shared" si="8"/>
        <v>0</v>
      </c>
      <c r="K84">
        <f t="shared" si="9"/>
        <v>0</v>
      </c>
      <c r="L84">
        <f t="shared" si="13"/>
        <v>0</v>
      </c>
      <c r="M84">
        <f>IF(I84="sell",N83+(N83*E84/100),IF(I84="buy",0,M83))</f>
        <v>1002.519199561602</v>
      </c>
      <c r="N84">
        <f>IF(I84="buy",M83,IF(I84="sell",0,IF(AND(I84="keep",N83&lt;&gt;0),N83+(N83*E83/100),N83)))</f>
        <v>0</v>
      </c>
      <c r="O84">
        <f>O83+(O83*E84/100)</f>
        <v>1045.3800260378209</v>
      </c>
    </row>
    <row r="85" spans="1:15" x14ac:dyDescent="0.25">
      <c r="A85" s="1">
        <v>45177</v>
      </c>
      <c r="B85">
        <v>4.69373879563139E-2</v>
      </c>
      <c r="C85">
        <v>0.14228731336309799</v>
      </c>
      <c r="D85">
        <v>0.34917579866613402</v>
      </c>
      <c r="E85">
        <v>-0.700451797957235</v>
      </c>
      <c r="F85" s="3">
        <v>0.215526667812938</v>
      </c>
      <c r="G85" t="str">
        <f t="shared" si="10"/>
        <v>buy</v>
      </c>
      <c r="H85">
        <f t="shared" si="11"/>
        <v>1</v>
      </c>
      <c r="I85" t="str">
        <f t="shared" si="12"/>
        <v>buy</v>
      </c>
      <c r="J85">
        <f t="shared" si="8"/>
        <v>1</v>
      </c>
      <c r="K85">
        <f t="shared" si="9"/>
        <v>0</v>
      </c>
      <c r="L85">
        <f t="shared" si="13"/>
        <v>1</v>
      </c>
      <c r="M85">
        <f>IF(I85="sell",N84+(N84*E85/100),IF(I85="buy",0,M84))</f>
        <v>0</v>
      </c>
      <c r="N85">
        <f>IF(I85="buy",M84,IF(I85="sell",0,IF(AND(I85="keep",N84&lt;&gt;0),N84+(N84*E84/100),N84)))</f>
        <v>1002.519199561602</v>
      </c>
      <c r="O85">
        <f>O84+(O84*E85/100)</f>
        <v>1038.0576428499533</v>
      </c>
    </row>
    <row r="86" spans="1:15" x14ac:dyDescent="0.25">
      <c r="A86" s="1">
        <v>45180</v>
      </c>
      <c r="B86">
        <v>0.255422453695963</v>
      </c>
      <c r="C86">
        <v>1.1887232251436</v>
      </c>
      <c r="D86">
        <v>0.66224127994594095</v>
      </c>
      <c r="E86">
        <v>1.3070582946200999</v>
      </c>
      <c r="F86" s="3">
        <v>0.32369317951896798</v>
      </c>
      <c r="G86" t="str">
        <f t="shared" si="10"/>
        <v>buy</v>
      </c>
      <c r="H86">
        <f t="shared" si="11"/>
        <v>0</v>
      </c>
      <c r="I86" t="str">
        <f t="shared" si="12"/>
        <v>keep</v>
      </c>
      <c r="J86">
        <f t="shared" si="8"/>
        <v>0</v>
      </c>
      <c r="K86">
        <f t="shared" si="9"/>
        <v>0</v>
      </c>
      <c r="L86">
        <f t="shared" si="13"/>
        <v>0</v>
      </c>
      <c r="M86">
        <f>IF(I86="sell",N85+(N85*E86/100),IF(I86="buy",0,M85))</f>
        <v>0</v>
      </c>
      <c r="N86">
        <f>IF(I86="buy",M85,IF(I86="sell",0,IF(AND(I86="keep",N85&lt;&gt;0),N85+(N85*E85/100),N85)))</f>
        <v>995.49703580340633</v>
      </c>
      <c r="O86">
        <f>O85+(O85*E86/100)</f>
        <v>1051.6256613737614</v>
      </c>
    </row>
    <row r="87" spans="1:15" x14ac:dyDescent="0.25">
      <c r="A87" s="1">
        <v>45181</v>
      </c>
      <c r="B87">
        <v>-0.623927608555496</v>
      </c>
      <c r="C87">
        <v>-1.1132539693316801</v>
      </c>
      <c r="D87">
        <v>-1.70606088357412</v>
      </c>
      <c r="E87">
        <v>-0.67581908788260003</v>
      </c>
      <c r="F87" s="3">
        <v>-0.68182382907788097</v>
      </c>
      <c r="G87" t="str">
        <f t="shared" si="10"/>
        <v>sell</v>
      </c>
      <c r="H87">
        <f t="shared" si="11"/>
        <v>1</v>
      </c>
      <c r="I87" t="str">
        <f t="shared" si="12"/>
        <v>sell</v>
      </c>
      <c r="J87">
        <f t="shared" si="8"/>
        <v>0</v>
      </c>
      <c r="K87">
        <f t="shared" si="9"/>
        <v>1</v>
      </c>
      <c r="L87">
        <f t="shared" si="13"/>
        <v>1</v>
      </c>
      <c r="M87">
        <f>IF(I87="sell",N86+(N86*E87/100),IF(I87="buy",0,M86))</f>
        <v>988.76927681614143</v>
      </c>
      <c r="N87">
        <f>IF(I87="buy",M86,IF(I87="sell",0,IF(AND(I87="keep",N86&lt;&gt;0),N86+(N86*E86/100),N86)))</f>
        <v>0</v>
      </c>
      <c r="O87">
        <f>O86+(O86*E87/100)</f>
        <v>1044.518574421126</v>
      </c>
    </row>
    <row r="88" spans="1:15" x14ac:dyDescent="0.25">
      <c r="A88" s="1">
        <v>45182</v>
      </c>
      <c r="B88">
        <v>-0.115108731543034</v>
      </c>
      <c r="C88">
        <v>0.384506460942524</v>
      </c>
      <c r="D88">
        <v>-1.1854768716533</v>
      </c>
      <c r="E88">
        <v>-0.4329882992397</v>
      </c>
      <c r="F88" s="3">
        <v>-0.39899595660266002</v>
      </c>
      <c r="G88" t="str">
        <f t="shared" si="10"/>
        <v>sell</v>
      </c>
      <c r="H88">
        <f t="shared" si="11"/>
        <v>0</v>
      </c>
      <c r="I88" t="str">
        <f t="shared" si="12"/>
        <v>keep</v>
      </c>
      <c r="J88">
        <f t="shared" si="8"/>
        <v>0</v>
      </c>
      <c r="K88">
        <f t="shared" si="9"/>
        <v>0</v>
      </c>
      <c r="L88">
        <f t="shared" si="13"/>
        <v>0</v>
      </c>
      <c r="M88">
        <f>IF(I88="sell",N87+(N87*E88/100),IF(I88="buy",0,M87))</f>
        <v>988.76927681614143</v>
      </c>
      <c r="N88">
        <f>IF(I88="buy",M87,IF(I88="sell",0,IF(AND(I88="keep",N87&lt;&gt;0),N87+(N87*E87/100),N87)))</f>
        <v>0</v>
      </c>
      <c r="O88">
        <f>O87+(O87*E88/100)</f>
        <v>1039.9959312104972</v>
      </c>
    </row>
    <row r="89" spans="1:15" x14ac:dyDescent="0.25">
      <c r="A89" s="1">
        <v>45183</v>
      </c>
      <c r="B89">
        <v>4.7143912082781E-2</v>
      </c>
      <c r="C89">
        <v>0.81675165482748502</v>
      </c>
      <c r="D89">
        <v>0.87823882660209496</v>
      </c>
      <c r="E89">
        <v>2.4435630244056199</v>
      </c>
      <c r="F89" s="3">
        <v>0.30478554385176199</v>
      </c>
      <c r="G89" t="str">
        <f t="shared" si="10"/>
        <v>buy</v>
      </c>
      <c r="H89">
        <f t="shared" si="11"/>
        <v>0</v>
      </c>
      <c r="I89" t="str">
        <f t="shared" si="12"/>
        <v>buy</v>
      </c>
      <c r="J89">
        <f t="shared" si="8"/>
        <v>1</v>
      </c>
      <c r="K89">
        <f t="shared" si="9"/>
        <v>0</v>
      </c>
      <c r="L89">
        <f t="shared" si="13"/>
        <v>0</v>
      </c>
      <c r="M89">
        <f>IF(I89="sell",N88+(N88*E89/100),IF(I89="buy",0,M88))</f>
        <v>0</v>
      </c>
      <c r="N89">
        <f>IF(I89="buy",M88,IF(I89="sell",0,IF(AND(I89="keep",N88&lt;&gt;0),N88+(N88*E88/100),N88)))</f>
        <v>988.76927681614143</v>
      </c>
      <c r="O89">
        <f>O88+(O88*E89/100)</f>
        <v>1065.4088872408799</v>
      </c>
    </row>
    <row r="90" spans="1:15" x14ac:dyDescent="0.25">
      <c r="A90" s="1">
        <v>45184</v>
      </c>
      <c r="B90">
        <v>0.71727493046464996</v>
      </c>
      <c r="C90">
        <v>-1.75449912065202</v>
      </c>
      <c r="D90">
        <v>-0.41539218851707099</v>
      </c>
      <c r="E90">
        <v>-4.58863382665686</v>
      </c>
      <c r="F90" s="3">
        <v>0.63708765345418805</v>
      </c>
      <c r="G90" t="str">
        <f t="shared" si="10"/>
        <v>buy</v>
      </c>
      <c r="H90">
        <f t="shared" si="11"/>
        <v>0</v>
      </c>
      <c r="I90" t="str">
        <f t="shared" si="12"/>
        <v>keep</v>
      </c>
      <c r="J90">
        <f t="shared" si="8"/>
        <v>0</v>
      </c>
      <c r="K90">
        <f t="shared" si="9"/>
        <v>0</v>
      </c>
      <c r="L90">
        <f t="shared" si="13"/>
        <v>0</v>
      </c>
      <c r="M90">
        <f>IF(I90="sell",N89+(N89*E90/100),IF(I90="buy",0,M89))</f>
        <v>0</v>
      </c>
      <c r="N90">
        <f>IF(I90="buy",M89,IF(I90="sell",0,IF(AND(I90="keep",N89&lt;&gt;0),N89+(N89*E89/100),N89)))</f>
        <v>1012.9304772611035</v>
      </c>
      <c r="O90">
        <f>O89+(O89*E90/100)</f>
        <v>1016.5211746487365</v>
      </c>
    </row>
    <row r="91" spans="1:15" x14ac:dyDescent="0.25">
      <c r="A91" s="1">
        <v>45187</v>
      </c>
      <c r="B91">
        <v>0.40547117669642502</v>
      </c>
      <c r="C91">
        <v>0.15109276148697001</v>
      </c>
      <c r="D91">
        <v>1.6913510212782801</v>
      </c>
      <c r="E91">
        <v>-0.23305551069028299</v>
      </c>
      <c r="F91" s="3">
        <v>0.68447437774404196</v>
      </c>
      <c r="G91" t="str">
        <f t="shared" si="10"/>
        <v>buy</v>
      </c>
      <c r="H91">
        <f t="shared" si="11"/>
        <v>1</v>
      </c>
      <c r="I91" t="str">
        <f t="shared" si="12"/>
        <v>keep</v>
      </c>
      <c r="J91">
        <f t="shared" si="8"/>
        <v>0</v>
      </c>
      <c r="K91">
        <f t="shared" si="9"/>
        <v>0</v>
      </c>
      <c r="L91">
        <f t="shared" si="13"/>
        <v>0</v>
      </c>
      <c r="M91">
        <f>IF(I91="sell",N90+(N90*E91/100),IF(I91="buy",0,M90))</f>
        <v>0</v>
      </c>
      <c r="N91">
        <f>IF(I91="buy",M90,IF(I91="sell",0,IF(AND(I91="keep",N90&lt;&gt;0),N90+(N90*E90/100),N90)))</f>
        <v>966.45080674098381</v>
      </c>
      <c r="O91">
        <f>O90+(O90*E91/100)</f>
        <v>1014.152116033884</v>
      </c>
    </row>
    <row r="92" spans="1:15" x14ac:dyDescent="0.25">
      <c r="A92" s="1">
        <v>45188</v>
      </c>
      <c r="B92">
        <v>2.5886616619197299E-2</v>
      </c>
      <c r="C92">
        <v>-0.22422869312688201</v>
      </c>
      <c r="D92">
        <v>0.61808862060734804</v>
      </c>
      <c r="E92">
        <v>0.127418939483847</v>
      </c>
      <c r="F92" s="3">
        <v>0.22085731263778099</v>
      </c>
      <c r="G92" t="str">
        <f t="shared" si="10"/>
        <v>buy</v>
      </c>
      <c r="H92">
        <f t="shared" si="11"/>
        <v>1</v>
      </c>
      <c r="I92" t="str">
        <f t="shared" si="12"/>
        <v>keep</v>
      </c>
      <c r="J92">
        <f t="shared" si="8"/>
        <v>0</v>
      </c>
      <c r="K92">
        <f t="shared" si="9"/>
        <v>0</v>
      </c>
      <c r="L92">
        <f t="shared" si="13"/>
        <v>0</v>
      </c>
      <c r="M92">
        <f>IF(I92="sell",N91+(N91*E92/100),IF(I92="buy",0,M91))</f>
        <v>0</v>
      </c>
      <c r="N92">
        <f>IF(I92="buy",M91,IF(I92="sell",0,IF(AND(I92="keep",N91&lt;&gt;0),N91+(N91*E91/100),N91)))</f>
        <v>964.19843987776324</v>
      </c>
      <c r="O92">
        <f>O91+(O91*E92/100)</f>
        <v>1015.4443379048873</v>
      </c>
    </row>
    <row r="93" spans="1:15" x14ac:dyDescent="0.25">
      <c r="A93" s="1">
        <v>45189</v>
      </c>
      <c r="B93">
        <v>0.70393248374418504</v>
      </c>
      <c r="C93">
        <v>-1.45683094815959</v>
      </c>
      <c r="D93">
        <v>-1.9992258693982801</v>
      </c>
      <c r="E93">
        <v>3.0752863496630001</v>
      </c>
      <c r="F93" s="3">
        <v>0.19512485775605101</v>
      </c>
      <c r="G93" t="str">
        <f t="shared" si="10"/>
        <v>buy</v>
      </c>
      <c r="H93">
        <f t="shared" si="11"/>
        <v>0</v>
      </c>
      <c r="I93" t="str">
        <f t="shared" si="12"/>
        <v>keep</v>
      </c>
      <c r="J93">
        <f t="shared" si="8"/>
        <v>0</v>
      </c>
      <c r="K93">
        <f t="shared" si="9"/>
        <v>0</v>
      </c>
      <c r="L93">
        <f t="shared" si="13"/>
        <v>0</v>
      </c>
      <c r="M93">
        <f>IF(I93="sell",N92+(N92*E93/100),IF(I93="buy",0,M92))</f>
        <v>0</v>
      </c>
      <c r="N93">
        <f>IF(I93="buy",M92,IF(I93="sell",0,IF(AND(I93="keep",N92&lt;&gt;0),N92+(N92*E92/100),N92)))</f>
        <v>965.42701130437524</v>
      </c>
      <c r="O93">
        <f>O92+(O92*E93/100)</f>
        <v>1046.6721590169022</v>
      </c>
    </row>
    <row r="94" spans="1:15" x14ac:dyDescent="0.25">
      <c r="A94" s="1">
        <v>45190</v>
      </c>
      <c r="B94">
        <v>-1.3569091665984301</v>
      </c>
      <c r="C94">
        <v>-1.84155752962418</v>
      </c>
      <c r="D94">
        <v>-0.88894455027431696</v>
      </c>
      <c r="E94">
        <v>-1.27571411828452</v>
      </c>
      <c r="F94" s="3">
        <v>-0.77095807950087503</v>
      </c>
      <c r="G94" t="str">
        <f t="shared" si="10"/>
        <v>sell</v>
      </c>
      <c r="H94">
        <f t="shared" si="11"/>
        <v>1</v>
      </c>
      <c r="I94" t="str">
        <f t="shared" si="12"/>
        <v>sell</v>
      </c>
      <c r="J94">
        <f t="shared" si="8"/>
        <v>0</v>
      </c>
      <c r="K94">
        <f t="shared" si="9"/>
        <v>1</v>
      </c>
      <c r="L94">
        <f t="shared" si="13"/>
        <v>1</v>
      </c>
      <c r="M94">
        <f>IF(I94="sell",N93+(N93*E94/100),IF(I94="buy",0,M93))</f>
        <v>953.11092261943304</v>
      </c>
      <c r="N94">
        <f>IF(I94="buy",M93,IF(I94="sell",0,IF(AND(I94="keep",N93&lt;&gt;0),N93+(N93*E93/100),N93)))</f>
        <v>0</v>
      </c>
      <c r="O94">
        <f>O93+(O93*E94/100)</f>
        <v>1033.3196145121701</v>
      </c>
    </row>
    <row r="95" spans="1:15" x14ac:dyDescent="0.25">
      <c r="A95" s="1">
        <v>45191</v>
      </c>
      <c r="B95">
        <v>0.32305509586958397</v>
      </c>
      <c r="C95">
        <v>4.6680705436896702E-2</v>
      </c>
      <c r="D95">
        <v>0.49444994128851</v>
      </c>
      <c r="E95">
        <v>-2.1675780073532902</v>
      </c>
      <c r="F95" s="3">
        <v>0.37604001927653502</v>
      </c>
      <c r="G95" t="str">
        <f t="shared" si="10"/>
        <v>buy</v>
      </c>
      <c r="H95">
        <f t="shared" si="11"/>
        <v>0</v>
      </c>
      <c r="I95" t="str">
        <f t="shared" si="12"/>
        <v>buy</v>
      </c>
      <c r="J95">
        <f t="shared" si="8"/>
        <v>1</v>
      </c>
      <c r="K95">
        <f t="shared" si="9"/>
        <v>0</v>
      </c>
      <c r="L95">
        <f t="shared" si="13"/>
        <v>0</v>
      </c>
      <c r="M95">
        <f>IF(I95="sell",N94+(N94*E95/100),IF(I95="buy",0,M94))</f>
        <v>0</v>
      </c>
      <c r="N95">
        <f>IF(I95="buy",M94,IF(I95="sell",0,IF(AND(I95="keep",N94&lt;&gt;0),N94+(N94*E94/100),N94)))</f>
        <v>953.11092261943304</v>
      </c>
      <c r="O95">
        <f>O94+(O94*E95/100)</f>
        <v>1010.9216058023366</v>
      </c>
    </row>
    <row r="96" spans="1:15" x14ac:dyDescent="0.25">
      <c r="A96" s="1">
        <v>45194</v>
      </c>
      <c r="B96">
        <v>-0.45705041635714</v>
      </c>
      <c r="C96">
        <v>0.46119530546384602</v>
      </c>
      <c r="D96">
        <v>0.73803456791168198</v>
      </c>
      <c r="E96">
        <v>-1.4273491797743201</v>
      </c>
      <c r="F96" s="3">
        <v>-9.8415748248853893E-2</v>
      </c>
      <c r="G96" t="str">
        <f t="shared" si="10"/>
        <v>keep</v>
      </c>
      <c r="H96">
        <f t="shared" si="11"/>
        <v>1</v>
      </c>
      <c r="I96" t="str">
        <f t="shared" si="12"/>
        <v>keep</v>
      </c>
      <c r="J96">
        <f t="shared" si="8"/>
        <v>0</v>
      </c>
      <c r="K96">
        <f t="shared" si="9"/>
        <v>0</v>
      </c>
      <c r="L96">
        <f t="shared" si="13"/>
        <v>0</v>
      </c>
      <c r="M96">
        <f>IF(I96="sell",N95+(N95*E96/100),IF(I96="buy",0,M95))</f>
        <v>0</v>
      </c>
      <c r="N96">
        <f>IF(I96="buy",M95,IF(I96="sell",0,IF(AND(I96="keep",N95&lt;&gt;0),N95+(N95*E95/100),N95)))</f>
        <v>932.45149987505215</v>
      </c>
      <c r="O96">
        <f>O95+(O95*E96/100)</f>
        <v>996.49222455375548</v>
      </c>
    </row>
    <row r="97" spans="1:15" x14ac:dyDescent="0.25">
      <c r="A97" s="1">
        <v>45195</v>
      </c>
      <c r="B97">
        <v>-0.84524425431667904</v>
      </c>
      <c r="C97">
        <v>-1.5104056943982</v>
      </c>
      <c r="D97">
        <v>-2.3398427847781602</v>
      </c>
      <c r="E97">
        <v>-1.5993088409571401</v>
      </c>
      <c r="F97" s="3">
        <v>-0.967279747107475</v>
      </c>
      <c r="G97" t="str">
        <f t="shared" si="10"/>
        <v>sell</v>
      </c>
      <c r="H97">
        <f t="shared" si="11"/>
        <v>1</v>
      </c>
      <c r="I97" t="str">
        <f t="shared" si="12"/>
        <v>sell</v>
      </c>
      <c r="J97">
        <f t="shared" si="8"/>
        <v>0</v>
      </c>
      <c r="K97">
        <f t="shared" si="9"/>
        <v>1</v>
      </c>
      <c r="L97">
        <f t="shared" si="13"/>
        <v>1</v>
      </c>
      <c r="M97">
        <f>IF(I97="sell",N96+(N96*E97/100),IF(I97="buy",0,M96))</f>
        <v>917.53872059991295</v>
      </c>
      <c r="N97">
        <f>IF(I97="buy",M96,IF(I97="sell",0,IF(AND(I97="keep",N96&lt;&gt;0),N96+(N96*E96/100),N96)))</f>
        <v>0</v>
      </c>
      <c r="O97">
        <f>O96+(O96*E97/100)</f>
        <v>980.5552363070168</v>
      </c>
    </row>
    <row r="98" spans="1:15" x14ac:dyDescent="0.25">
      <c r="A98" s="1">
        <v>45196</v>
      </c>
      <c r="B98">
        <v>-1.5154729771698801</v>
      </c>
      <c r="C98">
        <v>0.236013193751172</v>
      </c>
      <c r="D98">
        <v>-0.88976594269366505</v>
      </c>
      <c r="E98">
        <v>-1.3836986565882801</v>
      </c>
      <c r="F98" s="3">
        <v>-1.1732241309196201</v>
      </c>
      <c r="G98" t="str">
        <f t="shared" si="10"/>
        <v>sell</v>
      </c>
      <c r="H98">
        <f t="shared" si="11"/>
        <v>0</v>
      </c>
      <c r="I98" t="str">
        <f t="shared" si="12"/>
        <v>keep</v>
      </c>
      <c r="J98">
        <f t="shared" si="8"/>
        <v>0</v>
      </c>
      <c r="K98">
        <f t="shared" si="9"/>
        <v>0</v>
      </c>
      <c r="L98">
        <f t="shared" si="13"/>
        <v>0</v>
      </c>
      <c r="M98">
        <f>IF(I98="sell",N97+(N97*E98/100),IF(I98="buy",0,M97))</f>
        <v>917.53872059991295</v>
      </c>
      <c r="N98">
        <f>IF(I98="buy",M97,IF(I98="sell",0,IF(AND(I98="keep",N97&lt;&gt;0),N97+(N97*E97/100),N97)))</f>
        <v>0</v>
      </c>
      <c r="O98">
        <f>O97+(O97*E98/100)</f>
        <v>966.98730667513053</v>
      </c>
    </row>
    <row r="99" spans="1:15" x14ac:dyDescent="0.25">
      <c r="A99" s="1">
        <v>45197</v>
      </c>
      <c r="B99">
        <v>-0.59841586439264205</v>
      </c>
      <c r="C99">
        <v>0.84093297800602596</v>
      </c>
      <c r="D99">
        <v>0.15257580261796</v>
      </c>
      <c r="E99">
        <v>0.31180606855742898</v>
      </c>
      <c r="F99" s="3">
        <v>-0.32052664526574598</v>
      </c>
      <c r="G99" t="str">
        <f t="shared" si="10"/>
        <v>sell</v>
      </c>
      <c r="H99">
        <f t="shared" si="11"/>
        <v>0</v>
      </c>
      <c r="I99" t="str">
        <f t="shared" si="12"/>
        <v>keep</v>
      </c>
      <c r="J99">
        <f t="shared" si="8"/>
        <v>0</v>
      </c>
      <c r="K99">
        <f t="shared" si="9"/>
        <v>0</v>
      </c>
      <c r="L99">
        <f t="shared" si="13"/>
        <v>0</v>
      </c>
      <c r="M99">
        <f>IF(I99="sell",N98+(N98*E99/100),IF(I99="buy",0,M98))</f>
        <v>917.53872059991295</v>
      </c>
      <c r="N99">
        <f>IF(I99="buy",M98,IF(I99="sell",0,IF(AND(I99="keep",N98&lt;&gt;0),N98+(N98*E98/100),N98)))</f>
        <v>0</v>
      </c>
      <c r="O99">
        <f>O98+(O98*E99/100)</f>
        <v>970.00243177952359</v>
      </c>
    </row>
    <row r="100" spans="1:15" x14ac:dyDescent="0.25">
      <c r="A100" s="1">
        <v>45198</v>
      </c>
      <c r="B100">
        <v>-0.66115075611219398</v>
      </c>
      <c r="C100">
        <v>8.4818734990665903E-2</v>
      </c>
      <c r="D100">
        <v>0.30464154808325</v>
      </c>
      <c r="E100">
        <v>3.7966194578431001</v>
      </c>
      <c r="F100" s="3">
        <v>-0.22866845190104099</v>
      </c>
      <c r="G100" t="str">
        <f t="shared" si="10"/>
        <v>sell</v>
      </c>
      <c r="H100">
        <f t="shared" si="11"/>
        <v>0</v>
      </c>
      <c r="I100" t="str">
        <f t="shared" si="12"/>
        <v>keep</v>
      </c>
      <c r="J100">
        <f t="shared" si="8"/>
        <v>0</v>
      </c>
      <c r="K100">
        <f t="shared" si="9"/>
        <v>0</v>
      </c>
      <c r="L100">
        <f t="shared" si="13"/>
        <v>0</v>
      </c>
      <c r="M100">
        <f>IF(I100="sell",N99+(N99*E100/100),IF(I100="buy",0,M99))</f>
        <v>917.53872059991295</v>
      </c>
      <c r="N100">
        <f>IF(I100="buy",M99,IF(I100="sell",0,IF(AND(I100="keep",N99&lt;&gt;0),N99+(N99*E99/100),N99)))</f>
        <v>0</v>
      </c>
      <c r="O100">
        <f>O99+(O99*E100/100)</f>
        <v>1006.8297328460162</v>
      </c>
    </row>
    <row r="101" spans="1:15" x14ac:dyDescent="0.25">
      <c r="A101" s="1">
        <v>45201</v>
      </c>
      <c r="B101">
        <v>-0.97938292435716401</v>
      </c>
      <c r="C101">
        <v>0.83131553529949198</v>
      </c>
      <c r="D101">
        <v>1.48355707055876</v>
      </c>
      <c r="E101">
        <v>0.32085963754921998</v>
      </c>
      <c r="F101" s="3">
        <v>-0.13896742373945301</v>
      </c>
      <c r="G101" t="str">
        <f t="shared" si="10"/>
        <v>keep</v>
      </c>
      <c r="H101">
        <f t="shared" si="11"/>
        <v>1</v>
      </c>
      <c r="I101" t="str">
        <f t="shared" si="12"/>
        <v>keep</v>
      </c>
      <c r="J101">
        <f t="shared" si="8"/>
        <v>0</v>
      </c>
      <c r="K101">
        <f t="shared" si="9"/>
        <v>0</v>
      </c>
      <c r="L101">
        <f t="shared" si="13"/>
        <v>0</v>
      </c>
      <c r="M101">
        <f>IF(I101="sell",N100+(N100*E101/100),IF(I101="buy",0,M100))</f>
        <v>917.53872059991295</v>
      </c>
      <c r="N101">
        <f>IF(I101="buy",M100,IF(I101="sell",0,IF(AND(I101="keep",N100&lt;&gt;0),N100+(N100*E100/100),N100)))</f>
        <v>0</v>
      </c>
      <c r="O101">
        <f>O100+(O100*E101/100)</f>
        <v>1010.0602430775638</v>
      </c>
    </row>
    <row r="102" spans="1:15" x14ac:dyDescent="0.25">
      <c r="A102" s="1">
        <v>45202</v>
      </c>
      <c r="B102">
        <v>-0.29508330131489102</v>
      </c>
      <c r="C102">
        <v>-1.8328485701152399</v>
      </c>
      <c r="D102">
        <v>-0.77698234087467599</v>
      </c>
      <c r="E102">
        <v>-4.0511705311811497</v>
      </c>
      <c r="F102" s="3">
        <v>-0.29955369177298802</v>
      </c>
      <c r="G102" t="str">
        <f t="shared" si="10"/>
        <v>sell</v>
      </c>
      <c r="H102">
        <f t="shared" si="11"/>
        <v>1</v>
      </c>
      <c r="I102" t="str">
        <f t="shared" si="12"/>
        <v>keep</v>
      </c>
      <c r="J102">
        <f t="shared" si="8"/>
        <v>0</v>
      </c>
      <c r="K102">
        <f t="shared" si="9"/>
        <v>0</v>
      </c>
      <c r="L102">
        <f t="shared" si="13"/>
        <v>0</v>
      </c>
      <c r="M102">
        <f>IF(I102="sell",N101+(N101*E102/100),IF(I102="buy",0,M101))</f>
        <v>917.53872059991295</v>
      </c>
      <c r="N102">
        <f>IF(I102="buy",M101,IF(I102="sell",0,IF(AND(I102="keep",N101&lt;&gt;0),N101+(N101*E101/100),N101)))</f>
        <v>0</v>
      </c>
      <c r="O102">
        <f>O101+(O101*E102/100)</f>
        <v>969.14098016282878</v>
      </c>
    </row>
    <row r="103" spans="1:15" x14ac:dyDescent="0.25">
      <c r="A103" s="1">
        <v>45203</v>
      </c>
      <c r="B103">
        <v>-0.334318517349463</v>
      </c>
      <c r="C103">
        <v>1.4460756295844499</v>
      </c>
      <c r="D103">
        <v>0.73085682059077495</v>
      </c>
      <c r="E103">
        <v>-0.64445064895422</v>
      </c>
      <c r="F103" s="3">
        <v>-2.75736633695234E-2</v>
      </c>
      <c r="G103" t="str">
        <f t="shared" si="10"/>
        <v>keep</v>
      </c>
      <c r="H103">
        <f t="shared" si="11"/>
        <v>0</v>
      </c>
      <c r="I103" t="str">
        <f t="shared" si="12"/>
        <v>keep</v>
      </c>
      <c r="J103">
        <f t="shared" si="8"/>
        <v>0</v>
      </c>
      <c r="K103">
        <f t="shared" si="9"/>
        <v>0</v>
      </c>
      <c r="L103">
        <f t="shared" si="13"/>
        <v>0</v>
      </c>
      <c r="M103">
        <f>IF(I103="sell",N102+(N102*E103/100),IF(I103="buy",0,M102))</f>
        <v>917.53872059991295</v>
      </c>
      <c r="N103">
        <f>IF(I103="buy",M102,IF(I103="sell",0,IF(AND(I103="keep",N102&lt;&gt;0),N102+(N102*E102/100),N102)))</f>
        <v>0</v>
      </c>
      <c r="O103">
        <f>O102+(O102*E103/100)</f>
        <v>962.89534482688816</v>
      </c>
    </row>
    <row r="104" spans="1:15" x14ac:dyDescent="0.25">
      <c r="A104" s="1">
        <v>45204</v>
      </c>
      <c r="B104">
        <v>-0.104483058238247</v>
      </c>
      <c r="C104">
        <v>-0.35888857753151299</v>
      </c>
      <c r="D104">
        <v>0.71980788781484895</v>
      </c>
      <c r="E104">
        <v>6.7096231486796207E-2</v>
      </c>
      <c r="F104" s="3">
        <v>6.7188547254287301E-2</v>
      </c>
      <c r="G104" t="str">
        <f t="shared" si="10"/>
        <v>keep</v>
      </c>
      <c r="H104">
        <f t="shared" si="11"/>
        <v>1</v>
      </c>
      <c r="I104" t="str">
        <f t="shared" si="12"/>
        <v>keep</v>
      </c>
      <c r="J104">
        <f t="shared" si="8"/>
        <v>0</v>
      </c>
      <c r="K104">
        <f t="shared" si="9"/>
        <v>0</v>
      </c>
      <c r="L104">
        <f t="shared" si="13"/>
        <v>0</v>
      </c>
      <c r="M104">
        <f>IF(I104="sell",N103+(N103*E104/100),IF(I104="buy",0,M103))</f>
        <v>917.53872059991295</v>
      </c>
      <c r="N104">
        <f>IF(I104="buy",M103,IF(I104="sell",0,IF(AND(I104="keep",N103&lt;&gt;0),N103+(N103*E103/100),N103)))</f>
        <v>0</v>
      </c>
      <c r="O104">
        <f>O103+(O103*E104/100)</f>
        <v>963.54141131642882</v>
      </c>
    </row>
    <row r="105" spans="1:15" x14ac:dyDescent="0.25">
      <c r="A105" s="1">
        <v>45205</v>
      </c>
      <c r="B105">
        <v>0.74864999277295396</v>
      </c>
      <c r="C105">
        <v>1.69813744857336</v>
      </c>
      <c r="D105">
        <v>1.4750475697352201</v>
      </c>
      <c r="E105">
        <v>0.82700530311856602</v>
      </c>
      <c r="F105" s="3">
        <v>0.75384523588306795</v>
      </c>
      <c r="G105" t="str">
        <f t="shared" si="10"/>
        <v>buy</v>
      </c>
      <c r="H105">
        <f t="shared" si="11"/>
        <v>0</v>
      </c>
      <c r="I105" t="str">
        <f t="shared" si="12"/>
        <v>buy</v>
      </c>
      <c r="J105">
        <f t="shared" si="8"/>
        <v>1</v>
      </c>
      <c r="K105">
        <f t="shared" si="9"/>
        <v>0</v>
      </c>
      <c r="L105">
        <f t="shared" si="13"/>
        <v>0</v>
      </c>
      <c r="M105">
        <f>IF(I105="sell",N104+(N104*E105/100),IF(I105="buy",0,M104))</f>
        <v>0</v>
      </c>
      <c r="N105">
        <f>IF(I105="buy",M104,IF(I105="sell",0,IF(AND(I105="keep",N104&lt;&gt;0),N104+(N104*E104/100),N104)))</f>
        <v>917.53872059991295</v>
      </c>
      <c r="O105">
        <f>O104+(O104*E105/100)</f>
        <v>971.50994988575917</v>
      </c>
    </row>
    <row r="106" spans="1:15" x14ac:dyDescent="0.25">
      <c r="A106" s="1">
        <v>45208</v>
      </c>
      <c r="B106">
        <v>1.0545322556569401</v>
      </c>
      <c r="C106">
        <v>0.493614976405165</v>
      </c>
      <c r="D106">
        <v>0.84512513034411496</v>
      </c>
      <c r="E106">
        <v>-0.199512970584803</v>
      </c>
      <c r="F106" s="3">
        <v>0.78365205012956296</v>
      </c>
      <c r="G106" t="str">
        <f t="shared" si="10"/>
        <v>buy</v>
      </c>
      <c r="H106">
        <f t="shared" si="11"/>
        <v>1</v>
      </c>
      <c r="I106" t="str">
        <f t="shared" si="12"/>
        <v>keep</v>
      </c>
      <c r="J106">
        <f t="shared" si="8"/>
        <v>0</v>
      </c>
      <c r="K106">
        <f t="shared" si="9"/>
        <v>0</v>
      </c>
      <c r="L106">
        <f t="shared" si="13"/>
        <v>0</v>
      </c>
      <c r="M106">
        <f>IF(I106="sell",N105+(N105*E106/100),IF(I106="buy",0,M105))</f>
        <v>0</v>
      </c>
      <c r="N106">
        <f>IF(I106="buy",M105,IF(I106="sell",0,IF(AND(I106="keep",N105&lt;&gt;0),N105+(N105*E105/100),N105)))</f>
        <v>925.12681447744046</v>
      </c>
      <c r="O106">
        <f>O105+(O105*E106/100)</f>
        <v>969.57166152521518</v>
      </c>
    </row>
    <row r="107" spans="1:15" x14ac:dyDescent="0.25">
      <c r="A107" s="1">
        <v>45209</v>
      </c>
      <c r="B107">
        <v>0.621789672884554</v>
      </c>
      <c r="C107">
        <v>0.560698460736897</v>
      </c>
      <c r="D107">
        <v>-0.33521015519087899</v>
      </c>
      <c r="E107">
        <v>1.7547774616085401</v>
      </c>
      <c r="F107" s="3">
        <v>0.36039770579059199</v>
      </c>
      <c r="G107" t="str">
        <f t="shared" si="10"/>
        <v>buy</v>
      </c>
      <c r="H107">
        <f t="shared" si="11"/>
        <v>1</v>
      </c>
      <c r="I107" t="str">
        <f t="shared" si="12"/>
        <v>keep</v>
      </c>
      <c r="J107">
        <f t="shared" si="8"/>
        <v>0</v>
      </c>
      <c r="K107">
        <f t="shared" si="9"/>
        <v>0</v>
      </c>
      <c r="L107">
        <f t="shared" si="13"/>
        <v>0</v>
      </c>
      <c r="M107">
        <f>IF(I107="sell",N106+(N106*E107/100),IF(I107="buy",0,M106))</f>
        <v>0</v>
      </c>
      <c r="N107">
        <f>IF(I107="buy",M106,IF(I107="sell",0,IF(AND(I107="keep",N106&lt;&gt;0),N106+(N106*E106/100),N106)))</f>
        <v>923.28106648819994</v>
      </c>
      <c r="O107">
        <f>O106+(O106*E107/100)</f>
        <v>986.58548651580304</v>
      </c>
    </row>
    <row r="108" spans="1:15" x14ac:dyDescent="0.25">
      <c r="A108" s="1">
        <v>45210</v>
      </c>
      <c r="B108">
        <v>0.63407032929205798</v>
      </c>
      <c r="C108">
        <v>0.72431975989688502</v>
      </c>
      <c r="D108">
        <v>0.79038729141549502</v>
      </c>
      <c r="E108">
        <v>1.11329174530945</v>
      </c>
      <c r="F108" s="3">
        <v>0.57330263436198003</v>
      </c>
      <c r="G108" t="str">
        <f t="shared" si="10"/>
        <v>buy</v>
      </c>
      <c r="H108">
        <f t="shared" si="11"/>
        <v>0</v>
      </c>
      <c r="I108" t="str">
        <f t="shared" si="12"/>
        <v>keep</v>
      </c>
      <c r="J108">
        <f t="shared" si="8"/>
        <v>0</v>
      </c>
      <c r="K108">
        <f t="shared" si="9"/>
        <v>0</v>
      </c>
      <c r="L108">
        <f t="shared" si="13"/>
        <v>0</v>
      </c>
      <c r="M108">
        <f>IF(I108="sell",N107+(N107*E108/100),IF(I108="buy",0,M107))</f>
        <v>0</v>
      </c>
      <c r="N108">
        <f>IF(I108="buy",M107,IF(I108="sell",0,IF(AND(I108="keep",N107&lt;&gt;0),N107+(N107*E107/100),N107)))</f>
        <v>939.48259455023378</v>
      </c>
      <c r="O108">
        <f>O107+(O107*E108/100)</f>
        <v>997.56906129760455</v>
      </c>
    </row>
    <row r="109" spans="1:15" x14ac:dyDescent="0.25">
      <c r="A109" s="1">
        <v>45211</v>
      </c>
      <c r="B109">
        <v>-0.186885941304304</v>
      </c>
      <c r="C109">
        <v>-0.37412281626333299</v>
      </c>
      <c r="D109">
        <v>0.506134361499888</v>
      </c>
      <c r="E109">
        <v>-0.151119172067604</v>
      </c>
      <c r="F109" s="3">
        <v>1.5781641995624E-3</v>
      </c>
      <c r="G109" t="str">
        <f t="shared" si="10"/>
        <v>keep</v>
      </c>
      <c r="H109">
        <f t="shared" si="11"/>
        <v>0</v>
      </c>
      <c r="I109" t="str">
        <f t="shared" si="12"/>
        <v>keep</v>
      </c>
      <c r="J109">
        <f t="shared" si="8"/>
        <v>0</v>
      </c>
      <c r="K109">
        <f t="shared" si="9"/>
        <v>0</v>
      </c>
      <c r="L109">
        <f t="shared" si="13"/>
        <v>0</v>
      </c>
      <c r="M109">
        <f>IF(I109="sell",N108+(N108*E109/100),IF(I109="buy",0,M108))</f>
        <v>0</v>
      </c>
      <c r="N109">
        <f>IF(I109="buy",M108,IF(I109="sell",0,IF(AND(I109="keep",N108&lt;&gt;0),N108+(N108*E108/100),N108)))</f>
        <v>949.94177672398064</v>
      </c>
      <c r="O109">
        <f>O108+(O108*E109/100)</f>
        <v>996.06154319136908</v>
      </c>
    </row>
    <row r="110" spans="1:15" x14ac:dyDescent="0.25">
      <c r="A110" s="1">
        <v>45212</v>
      </c>
      <c r="B110">
        <v>3.1081139500510102</v>
      </c>
      <c r="C110">
        <v>-1.2445880694224301</v>
      </c>
      <c r="D110">
        <v>-1.0292761371769601</v>
      </c>
      <c r="E110">
        <v>-2.8108102319346702</v>
      </c>
      <c r="F110" s="3">
        <v>1.7368726258048399</v>
      </c>
      <c r="G110" t="str">
        <f t="shared" si="10"/>
        <v>buy</v>
      </c>
      <c r="H110">
        <f t="shared" si="11"/>
        <v>1</v>
      </c>
      <c r="I110" t="str">
        <f t="shared" si="12"/>
        <v>keep</v>
      </c>
      <c r="J110">
        <f t="shared" si="8"/>
        <v>0</v>
      </c>
      <c r="K110">
        <f t="shared" si="9"/>
        <v>0</v>
      </c>
      <c r="L110">
        <f t="shared" si="13"/>
        <v>0</v>
      </c>
      <c r="M110">
        <f>IF(I110="sell",N109+(N109*E110/100),IF(I110="buy",0,M109))</f>
        <v>0</v>
      </c>
      <c r="N110">
        <f>IF(I110="buy",M109,IF(I110="sell",0,IF(AND(I110="keep",N109&lt;&gt;0),N109+(N109*E109/100),N109)))</f>
        <v>948.50623257587108</v>
      </c>
      <c r="O110">
        <f>O109+(O109*E110/100)</f>
        <v>968.06414341897971</v>
      </c>
    </row>
    <row r="111" spans="1:15" x14ac:dyDescent="0.25">
      <c r="A111" s="1">
        <v>45215</v>
      </c>
      <c r="B111">
        <v>-0.32686773624174198</v>
      </c>
      <c r="C111">
        <v>1.18445434364291</v>
      </c>
      <c r="D111">
        <v>-7.2704976983794994E-2</v>
      </c>
      <c r="E111">
        <v>2.1801962287713401</v>
      </c>
      <c r="F111" s="3">
        <v>-0.16600783873092301</v>
      </c>
      <c r="G111" t="str">
        <f t="shared" si="10"/>
        <v>sell</v>
      </c>
      <c r="H111">
        <f t="shared" si="11"/>
        <v>1</v>
      </c>
      <c r="I111" t="str">
        <f t="shared" si="12"/>
        <v>sell</v>
      </c>
      <c r="J111">
        <f t="shared" si="8"/>
        <v>0</v>
      </c>
      <c r="K111">
        <f t="shared" si="9"/>
        <v>1</v>
      </c>
      <c r="L111">
        <f t="shared" si="13"/>
        <v>1</v>
      </c>
      <c r="M111">
        <f>IF(I111="sell",N110+(N110*E111/100),IF(I111="buy",0,M110))</f>
        <v>969.18552968815129</v>
      </c>
      <c r="N111">
        <f>IF(I111="buy",M110,IF(I111="sell",0,IF(AND(I111="keep",N110&lt;&gt;0),N110+(N110*E110/100),N110)))</f>
        <v>0</v>
      </c>
      <c r="O111">
        <f>O110+(O110*E111/100)</f>
        <v>989.16984136588792</v>
      </c>
    </row>
    <row r="112" spans="1:15" x14ac:dyDescent="0.25">
      <c r="A112" s="1">
        <v>45216</v>
      </c>
      <c r="B112">
        <v>8.3284347835643702E-2</v>
      </c>
      <c r="C112">
        <v>-0.33428856611843399</v>
      </c>
      <c r="D112">
        <v>-0.87846224491054903</v>
      </c>
      <c r="E112">
        <v>-0.69671572436589202</v>
      </c>
      <c r="F112" s="3">
        <v>-6.7795982930202295E-2</v>
      </c>
      <c r="G112" t="str">
        <f t="shared" si="10"/>
        <v>keep</v>
      </c>
      <c r="H112">
        <f t="shared" si="11"/>
        <v>1</v>
      </c>
      <c r="I112" t="str">
        <f t="shared" si="12"/>
        <v>keep</v>
      </c>
      <c r="J112">
        <f t="shared" si="8"/>
        <v>0</v>
      </c>
      <c r="K112">
        <f t="shared" si="9"/>
        <v>0</v>
      </c>
      <c r="L112">
        <f t="shared" si="13"/>
        <v>0</v>
      </c>
      <c r="M112">
        <f>IF(I112="sell",N111+(N111*E112/100),IF(I112="buy",0,M111))</f>
        <v>969.18552968815129</v>
      </c>
      <c r="N112">
        <f>IF(I112="buy",M111,IF(I112="sell",0,IF(AND(I112="keep",N111&lt;&gt;0),N111+(N111*E111/100),N111)))</f>
        <v>0</v>
      </c>
      <c r="O112">
        <f>O111+(O111*E112/100)</f>
        <v>982.27813954040664</v>
      </c>
    </row>
    <row r="113" spans="1:15" x14ac:dyDescent="0.25">
      <c r="A113" s="1">
        <v>45217</v>
      </c>
      <c r="B113">
        <v>1.6955374465152699</v>
      </c>
      <c r="C113">
        <v>-1.4068897143792201</v>
      </c>
      <c r="D113">
        <v>-0.73948574585221905</v>
      </c>
      <c r="E113">
        <v>-2.4336730058282798</v>
      </c>
      <c r="F113" s="3">
        <v>0.92879154132430997</v>
      </c>
      <c r="G113" t="str">
        <f t="shared" si="10"/>
        <v>buy</v>
      </c>
      <c r="H113">
        <f t="shared" si="11"/>
        <v>0</v>
      </c>
      <c r="I113" t="str">
        <f t="shared" si="12"/>
        <v>buy</v>
      </c>
      <c r="J113">
        <f t="shared" si="8"/>
        <v>1</v>
      </c>
      <c r="K113">
        <f t="shared" si="9"/>
        <v>0</v>
      </c>
      <c r="L113">
        <f t="shared" si="13"/>
        <v>0</v>
      </c>
      <c r="M113">
        <f>IF(I113="sell",N112+(N112*E113/100),IF(I113="buy",0,M112))</f>
        <v>0</v>
      </c>
      <c r="N113">
        <f>IF(I113="buy",M112,IF(I113="sell",0,IF(AND(I113="keep",N112&lt;&gt;0),N112+(N112*E112/100),N112)))</f>
        <v>969.18552968815129</v>
      </c>
      <c r="O113">
        <f>O112+(O112*E113/100)</f>
        <v>958.37270161625952</v>
      </c>
    </row>
    <row r="114" spans="1:15" x14ac:dyDescent="0.25">
      <c r="A114" s="1">
        <v>45218</v>
      </c>
      <c r="B114">
        <v>0.66997265170574105</v>
      </c>
      <c r="C114">
        <v>-0.84598353503308998</v>
      </c>
      <c r="D114">
        <v>-0.21609473820670599</v>
      </c>
      <c r="E114">
        <v>-1.5056127145782101</v>
      </c>
      <c r="F114" s="3">
        <v>0.25719123014227002</v>
      </c>
      <c r="G114" t="str">
        <f t="shared" si="10"/>
        <v>buy</v>
      </c>
      <c r="H114">
        <f t="shared" si="11"/>
        <v>0</v>
      </c>
      <c r="I114" t="str">
        <f t="shared" si="12"/>
        <v>keep</v>
      </c>
      <c r="J114">
        <f t="shared" si="8"/>
        <v>0</v>
      </c>
      <c r="K114">
        <f t="shared" si="9"/>
        <v>0</v>
      </c>
      <c r="L114">
        <f t="shared" si="13"/>
        <v>0</v>
      </c>
      <c r="M114">
        <f>IF(I114="sell",N113+(N113*E114/100),IF(I114="buy",0,M113))</f>
        <v>0</v>
      </c>
      <c r="N114">
        <f>IF(I114="buy",M113,IF(I114="sell",0,IF(AND(I114="keep",N113&lt;&gt;0),N113+(N113*E113/100),N113)))</f>
        <v>945.59872307573687</v>
      </c>
      <c r="O114">
        <f>O113+(O113*E114/100)</f>
        <v>943.94332036767844</v>
      </c>
    </row>
    <row r="115" spans="1:15" x14ac:dyDescent="0.25">
      <c r="A115" s="1">
        <v>45219</v>
      </c>
      <c r="B115">
        <v>0.71631657239663504</v>
      </c>
      <c r="C115">
        <v>-1.50340287721071</v>
      </c>
      <c r="D115">
        <v>-1.4704236786725</v>
      </c>
      <c r="E115">
        <v>-2.0990300404934499</v>
      </c>
      <c r="F115" s="3">
        <v>-4.4826416855181499E-3</v>
      </c>
      <c r="G115" t="str">
        <f t="shared" si="10"/>
        <v>keep</v>
      </c>
      <c r="H115">
        <f t="shared" si="11"/>
        <v>0</v>
      </c>
      <c r="I115" t="str">
        <f t="shared" si="12"/>
        <v>keep</v>
      </c>
      <c r="J115">
        <f t="shared" si="8"/>
        <v>0</v>
      </c>
      <c r="K115">
        <f t="shared" si="9"/>
        <v>0</v>
      </c>
      <c r="L115">
        <f t="shared" si="13"/>
        <v>0</v>
      </c>
      <c r="M115">
        <f>IF(I115="sell",N114+(N114*E115/100),IF(I115="buy",0,M114))</f>
        <v>0</v>
      </c>
      <c r="N115">
        <f>IF(I115="buy",M114,IF(I115="sell",0,IF(AND(I115="keep",N114&lt;&gt;0),N114+(N114*E114/100),N114)))</f>
        <v>931.36166847221943</v>
      </c>
      <c r="O115">
        <f>O114+(O114*E115/100)</f>
        <v>924.12966650792953</v>
      </c>
    </row>
    <row r="116" spans="1:15" x14ac:dyDescent="0.25">
      <c r="A116" s="1">
        <v>45222</v>
      </c>
      <c r="B116">
        <v>-0.31273398092686</v>
      </c>
      <c r="C116">
        <v>0.30197163163472301</v>
      </c>
      <c r="D116">
        <v>6.9390049156492495E-2</v>
      </c>
      <c r="E116">
        <v>4.6613616023849502E-2</v>
      </c>
      <c r="F116" s="3">
        <v>-0.19489478777566199</v>
      </c>
      <c r="G116" t="str">
        <f t="shared" si="10"/>
        <v>sell</v>
      </c>
      <c r="H116">
        <f t="shared" si="11"/>
        <v>0</v>
      </c>
      <c r="I116" t="str">
        <f t="shared" si="12"/>
        <v>sell</v>
      </c>
      <c r="J116">
        <f t="shared" si="8"/>
        <v>0</v>
      </c>
      <c r="K116">
        <f t="shared" si="9"/>
        <v>1</v>
      </c>
      <c r="L116">
        <f t="shared" si="13"/>
        <v>0</v>
      </c>
      <c r="M116">
        <f>IF(I116="sell",N115+(N115*E116/100),IF(I116="buy",0,M115))</f>
        <v>931.79580982415439</v>
      </c>
      <c r="N116">
        <f>IF(I116="buy",M115,IF(I116="sell",0,IF(AND(I116="keep",N115&lt;&gt;0),N115+(N115*E115/100),N115)))</f>
        <v>0</v>
      </c>
      <c r="O116">
        <f>O115+(O115*E116/100)</f>
        <v>924.56043676223806</v>
      </c>
    </row>
    <row r="117" spans="1:15" x14ac:dyDescent="0.25">
      <c r="A117" s="1">
        <v>45223</v>
      </c>
      <c r="B117">
        <v>-6.5781955978594306E-2</v>
      </c>
      <c r="C117">
        <v>0.96550629386134001</v>
      </c>
      <c r="D117">
        <v>0.25434884822674803</v>
      </c>
      <c r="E117">
        <v>2.2594955268509098</v>
      </c>
      <c r="F117" s="3">
        <v>4.8122258918090001E-2</v>
      </c>
      <c r="G117" t="str">
        <f t="shared" si="10"/>
        <v>keep</v>
      </c>
      <c r="H117">
        <f t="shared" si="11"/>
        <v>0</v>
      </c>
      <c r="I117" t="str">
        <f t="shared" si="12"/>
        <v>keep</v>
      </c>
      <c r="J117">
        <f t="shared" si="8"/>
        <v>0</v>
      </c>
      <c r="K117">
        <f t="shared" si="9"/>
        <v>0</v>
      </c>
      <c r="L117">
        <f t="shared" si="13"/>
        <v>0</v>
      </c>
      <c r="M117">
        <f>IF(I117="sell",N116+(N116*E117/100),IF(I117="buy",0,M116))</f>
        <v>931.79580982415439</v>
      </c>
      <c r="N117">
        <f>IF(I117="buy",M116,IF(I117="sell",0,IF(AND(I117="keep",N116&lt;&gt;0),N116+(N116*E116/100),N116)))</f>
        <v>0</v>
      </c>
      <c r="O117">
        <f>O116+(O116*E117/100)</f>
        <v>945.45083847391402</v>
      </c>
    </row>
    <row r="118" spans="1:15" x14ac:dyDescent="0.25">
      <c r="A118" s="1">
        <v>45224</v>
      </c>
      <c r="B118">
        <v>0.46075825751581401</v>
      </c>
      <c r="C118">
        <v>-2.4699861143497501</v>
      </c>
      <c r="D118">
        <v>-1.34915513959119</v>
      </c>
      <c r="E118">
        <v>-3.0979434952692002</v>
      </c>
      <c r="F118" s="3">
        <v>-0.16933759672534099</v>
      </c>
      <c r="G118" t="str">
        <f t="shared" si="10"/>
        <v>sell</v>
      </c>
      <c r="H118">
        <f t="shared" si="11"/>
        <v>0</v>
      </c>
      <c r="I118" t="str">
        <f t="shared" si="12"/>
        <v>keep</v>
      </c>
      <c r="J118">
        <f t="shared" si="8"/>
        <v>0</v>
      </c>
      <c r="K118">
        <f t="shared" si="9"/>
        <v>0</v>
      </c>
      <c r="L118">
        <f t="shared" si="13"/>
        <v>0</v>
      </c>
      <c r="M118">
        <f>IF(I118="sell",N117+(N117*E118/100),IF(I118="buy",0,M117))</f>
        <v>931.79580982415439</v>
      </c>
      <c r="N118">
        <f>IF(I118="buy",M117,IF(I118="sell",0,IF(AND(I118="keep",N117&lt;&gt;0),N117+(N117*E117/100),N117)))</f>
        <v>0</v>
      </c>
      <c r="O118">
        <f>O117+(O117*E118/100)</f>
        <v>916.16130572244333</v>
      </c>
    </row>
    <row r="119" spans="1:15" x14ac:dyDescent="0.25">
      <c r="A119" s="1">
        <v>45225</v>
      </c>
      <c r="B119">
        <v>0.15624089632992799</v>
      </c>
      <c r="C119">
        <v>-1.8917824572739801</v>
      </c>
      <c r="D119">
        <v>-2.4605699275894599</v>
      </c>
      <c r="E119">
        <v>1.45744471211899</v>
      </c>
      <c r="F119" s="3">
        <v>-0.389142803918476</v>
      </c>
      <c r="G119" t="str">
        <f t="shared" si="10"/>
        <v>sell</v>
      </c>
      <c r="H119">
        <f t="shared" si="11"/>
        <v>0</v>
      </c>
      <c r="I119" t="str">
        <f t="shared" si="12"/>
        <v>keep</v>
      </c>
      <c r="J119">
        <f t="shared" si="8"/>
        <v>0</v>
      </c>
      <c r="K119">
        <f t="shared" si="9"/>
        <v>0</v>
      </c>
      <c r="L119">
        <f t="shared" si="13"/>
        <v>0</v>
      </c>
      <c r="M119">
        <f>IF(I119="sell",N118+(N118*E119/100),IF(I119="buy",0,M118))</f>
        <v>931.79580982415439</v>
      </c>
      <c r="N119">
        <f>IF(I119="buy",M118,IF(I119="sell",0,IF(AND(I119="keep",N118&lt;&gt;0),N118+(N118*E118/100),N118)))</f>
        <v>0</v>
      </c>
      <c r="O119">
        <f>O118+(O118*E119/100)</f>
        <v>929.51385022717534</v>
      </c>
    </row>
    <row r="120" spans="1:15" x14ac:dyDescent="0.25">
      <c r="A120" s="1">
        <v>45226</v>
      </c>
      <c r="B120">
        <v>7.0452115965324802E-2</v>
      </c>
      <c r="C120">
        <v>0.50213867471380302</v>
      </c>
      <c r="D120">
        <v>0.79693388297010703</v>
      </c>
      <c r="E120">
        <v>3.4291018348664202</v>
      </c>
      <c r="F120" s="3">
        <v>0.11910303593190701</v>
      </c>
      <c r="G120" t="str">
        <f t="shared" si="10"/>
        <v>keep</v>
      </c>
      <c r="H120">
        <f t="shared" si="11"/>
        <v>1</v>
      </c>
      <c r="I120" t="str">
        <f t="shared" si="12"/>
        <v>keep</v>
      </c>
      <c r="J120">
        <f t="shared" si="8"/>
        <v>0</v>
      </c>
      <c r="K120">
        <f t="shared" si="9"/>
        <v>0</v>
      </c>
      <c r="L120">
        <f t="shared" si="13"/>
        <v>0</v>
      </c>
      <c r="M120">
        <f>IF(I120="sell",N119+(N119*E120/100),IF(I120="buy",0,M119))</f>
        <v>931.79580982415439</v>
      </c>
      <c r="N120">
        <f>IF(I120="buy",M119,IF(I120="sell",0,IF(AND(I120="keep",N119&lt;&gt;0),N119+(N119*E119/100),N119)))</f>
        <v>0</v>
      </c>
      <c r="O120">
        <f>O119+(O119*E120/100)</f>
        <v>961.38782672065292</v>
      </c>
    </row>
    <row r="121" spans="1:15" x14ac:dyDescent="0.25">
      <c r="A121" s="1">
        <v>45229</v>
      </c>
      <c r="B121">
        <v>0.38217719396773597</v>
      </c>
      <c r="C121">
        <v>1.09369006421844</v>
      </c>
      <c r="D121">
        <v>1.2305266473982199</v>
      </c>
      <c r="E121">
        <v>0.53763928026033803</v>
      </c>
      <c r="F121" s="3">
        <v>0.348187331847162</v>
      </c>
      <c r="G121" t="str">
        <f t="shared" si="10"/>
        <v>buy</v>
      </c>
      <c r="H121">
        <f t="shared" si="11"/>
        <v>1</v>
      </c>
      <c r="I121" t="str">
        <f t="shared" si="12"/>
        <v>buy</v>
      </c>
      <c r="J121">
        <f t="shared" si="8"/>
        <v>1</v>
      </c>
      <c r="K121">
        <f t="shared" si="9"/>
        <v>0</v>
      </c>
      <c r="L121">
        <f t="shared" si="13"/>
        <v>1</v>
      </c>
      <c r="M121">
        <f>IF(I121="sell",N120+(N120*E121/100),IF(I121="buy",0,M120))</f>
        <v>0</v>
      </c>
      <c r="N121">
        <f>IF(I121="buy",M120,IF(I121="sell",0,IF(AND(I121="keep",N120&lt;&gt;0),N120+(N120*E120/100),N120)))</f>
        <v>931.79580982415439</v>
      </c>
      <c r="O121">
        <f>O120+(O120*E121/100)</f>
        <v>966.55662531274436</v>
      </c>
    </row>
    <row r="122" spans="1:15" x14ac:dyDescent="0.25">
      <c r="A122" s="1">
        <v>45230</v>
      </c>
      <c r="B122">
        <v>-0.55104700275854201</v>
      </c>
      <c r="C122">
        <v>0.51808766501344405</v>
      </c>
      <c r="D122">
        <v>0.28189044112991701</v>
      </c>
      <c r="E122">
        <v>3.9661224359539702</v>
      </c>
      <c r="F122" s="3">
        <v>-0.25396296272964702</v>
      </c>
      <c r="G122" t="str">
        <f t="shared" si="10"/>
        <v>sell</v>
      </c>
      <c r="H122">
        <f t="shared" si="11"/>
        <v>0</v>
      </c>
      <c r="I122" t="str">
        <f t="shared" si="12"/>
        <v>sell</v>
      </c>
      <c r="J122">
        <f t="shared" si="8"/>
        <v>0</v>
      </c>
      <c r="K122">
        <f t="shared" si="9"/>
        <v>1</v>
      </c>
      <c r="L122">
        <f t="shared" si="13"/>
        <v>0</v>
      </c>
      <c r="M122">
        <f>IF(I122="sell",N121+(N121*E122/100),IF(I122="buy",0,M121))</f>
        <v>968.75197249486916</v>
      </c>
      <c r="N122">
        <f>IF(I122="buy",M121,IF(I122="sell",0,IF(AND(I122="keep",N121&lt;&gt;0),N121+(N121*E121/100),N121)))</f>
        <v>0</v>
      </c>
      <c r="O122">
        <f>O121+(O121*E122/100)</f>
        <v>1004.8914444854727</v>
      </c>
    </row>
    <row r="123" spans="1:15" x14ac:dyDescent="0.25">
      <c r="A123" s="1">
        <v>45231</v>
      </c>
      <c r="B123">
        <v>-0.32238074255301802</v>
      </c>
      <c r="C123">
        <v>1.7705327768446</v>
      </c>
      <c r="D123">
        <v>1.8738485334519099</v>
      </c>
      <c r="E123">
        <v>0.96442674041099496</v>
      </c>
      <c r="F123" s="3">
        <v>0.12925426282028399</v>
      </c>
      <c r="G123" t="str">
        <f t="shared" si="10"/>
        <v>keep</v>
      </c>
      <c r="H123">
        <f t="shared" si="11"/>
        <v>1</v>
      </c>
      <c r="I123" t="str">
        <f t="shared" si="12"/>
        <v>keep</v>
      </c>
      <c r="J123">
        <f t="shared" si="8"/>
        <v>0</v>
      </c>
      <c r="K123">
        <f t="shared" si="9"/>
        <v>0</v>
      </c>
      <c r="L123">
        <f t="shared" si="13"/>
        <v>0</v>
      </c>
      <c r="M123">
        <f>IF(I123="sell",N122+(N122*E123/100),IF(I123="buy",0,M122))</f>
        <v>968.75197249486916</v>
      </c>
      <c r="N123">
        <f>IF(I123="buy",M122,IF(I123="sell",0,IF(AND(I123="keep",N122&lt;&gt;0),N122+(N122*E122/100),N122)))</f>
        <v>0</v>
      </c>
      <c r="O123">
        <f>O122+(O122*E123/100)</f>
        <v>1014.5828862881929</v>
      </c>
    </row>
    <row r="124" spans="1:15" x14ac:dyDescent="0.25">
      <c r="A124" s="1">
        <v>45232</v>
      </c>
      <c r="B124">
        <v>0.34363890186073198</v>
      </c>
      <c r="C124">
        <v>1.73638737451777</v>
      </c>
      <c r="D124">
        <v>2.0693416559609301</v>
      </c>
      <c r="E124">
        <v>8.2572666385600098</v>
      </c>
      <c r="F124" s="3">
        <v>0.76079913364208396</v>
      </c>
      <c r="G124" t="str">
        <f t="shared" si="10"/>
        <v>buy</v>
      </c>
      <c r="H124">
        <f t="shared" si="11"/>
        <v>1</v>
      </c>
      <c r="I124" t="str">
        <f t="shared" si="12"/>
        <v>buy</v>
      </c>
      <c r="J124">
        <f t="shared" si="8"/>
        <v>1</v>
      </c>
      <c r="K124">
        <f t="shared" si="9"/>
        <v>0</v>
      </c>
      <c r="L124">
        <f t="shared" si="13"/>
        <v>1</v>
      </c>
      <c r="M124">
        <f>IF(I124="sell",N123+(N123*E124/100),IF(I124="buy",0,M123))</f>
        <v>0</v>
      </c>
      <c r="N124">
        <f>IF(I124="buy",M123,IF(I124="sell",0,IF(AND(I124="keep",N123&lt;&gt;0),N123+(N123*E123/100),N123)))</f>
        <v>968.75197249486916</v>
      </c>
      <c r="O124">
        <f>O123+(O123*E124/100)</f>
        <v>1098.3597004782071</v>
      </c>
    </row>
    <row r="125" spans="1:15" x14ac:dyDescent="0.25">
      <c r="A125" s="1">
        <v>45233</v>
      </c>
      <c r="B125">
        <v>0.29714063691612602</v>
      </c>
      <c r="C125">
        <v>1.20607144346249</v>
      </c>
      <c r="D125">
        <v>-0.51812755945615996</v>
      </c>
      <c r="E125">
        <v>3.29411526671994</v>
      </c>
      <c r="F125" s="3">
        <v>0.27127951677689799</v>
      </c>
      <c r="G125" t="str">
        <f t="shared" si="10"/>
        <v>buy</v>
      </c>
      <c r="H125">
        <f t="shared" si="11"/>
        <v>0</v>
      </c>
      <c r="I125" t="str">
        <f t="shared" si="12"/>
        <v>keep</v>
      </c>
      <c r="J125">
        <f t="shared" si="8"/>
        <v>0</v>
      </c>
      <c r="K125">
        <f t="shared" si="9"/>
        <v>0</v>
      </c>
      <c r="L125">
        <f t="shared" si="13"/>
        <v>0</v>
      </c>
      <c r="M125">
        <f>IF(I125="sell",N124+(N124*E125/100),IF(I125="buy",0,M124))</f>
        <v>0</v>
      </c>
      <c r="N125">
        <f>IF(I125="buy",M124,IF(I125="sell",0,IF(AND(I125="keep",N124&lt;&gt;0),N124+(N124*E124/100),N124)))</f>
        <v>1048.7444059300801</v>
      </c>
      <c r="O125">
        <f>O124+(O124*E125/100)</f>
        <v>1134.540935055159</v>
      </c>
    </row>
    <row r="126" spans="1:15" x14ac:dyDescent="0.25">
      <c r="A126" s="1">
        <v>45236</v>
      </c>
      <c r="B126">
        <v>-0.49711395501192901</v>
      </c>
      <c r="C126">
        <v>0.367161091298218</v>
      </c>
      <c r="D126">
        <v>1.4605272520667101</v>
      </c>
      <c r="E126">
        <v>-3.7205705488065202</v>
      </c>
      <c r="F126" s="3">
        <v>0.19574530752606001</v>
      </c>
      <c r="G126" t="str">
        <f t="shared" si="10"/>
        <v>buy</v>
      </c>
      <c r="H126">
        <f t="shared" si="11"/>
        <v>0</v>
      </c>
      <c r="I126" t="str">
        <f t="shared" si="12"/>
        <v>keep</v>
      </c>
      <c r="J126">
        <f t="shared" si="8"/>
        <v>0</v>
      </c>
      <c r="K126">
        <f t="shared" si="9"/>
        <v>0</v>
      </c>
      <c r="L126">
        <f t="shared" si="13"/>
        <v>0</v>
      </c>
      <c r="M126">
        <f>IF(I126="sell",N125+(N125*E126/100),IF(I126="buy",0,M125))</f>
        <v>0</v>
      </c>
      <c r="N126">
        <f>IF(I126="buy",M125,IF(I126="sell",0,IF(AND(I126="keep",N125&lt;&gt;0),N125+(N125*E125/100),N125)))</f>
        <v>1083.2912555146943</v>
      </c>
      <c r="O126">
        <f>O125+(O125*E126/100)</f>
        <v>1092.3295391613426</v>
      </c>
    </row>
    <row r="127" spans="1:15" x14ac:dyDescent="0.25">
      <c r="A127" s="1">
        <v>45237</v>
      </c>
      <c r="B127">
        <v>-0.74686752826772496</v>
      </c>
      <c r="C127">
        <v>0.93098316296624795</v>
      </c>
      <c r="D127">
        <v>1.44505330391142</v>
      </c>
      <c r="E127">
        <v>-2.0504727753776599</v>
      </c>
      <c r="F127" s="3">
        <v>1.5263749077158301E-2</v>
      </c>
      <c r="G127" t="str">
        <f t="shared" si="10"/>
        <v>keep</v>
      </c>
      <c r="H127">
        <f t="shared" si="11"/>
        <v>1</v>
      </c>
      <c r="I127" t="str">
        <f t="shared" si="12"/>
        <v>keep</v>
      </c>
      <c r="J127">
        <f t="shared" si="8"/>
        <v>0</v>
      </c>
      <c r="K127">
        <f t="shared" si="9"/>
        <v>0</v>
      </c>
      <c r="L127">
        <f t="shared" si="13"/>
        <v>0</v>
      </c>
      <c r="M127">
        <f>IF(I127="sell",N126+(N126*E127/100),IF(I127="buy",0,M126))</f>
        <v>0</v>
      </c>
      <c r="N127">
        <f>IF(I127="buy",M126,IF(I127="sell",0,IF(AND(I127="keep",N126&lt;&gt;0),N126+(N126*E126/100),N126)))</f>
        <v>1042.9866401042182</v>
      </c>
      <c r="O127">
        <f>O126+(O126*E127/100)</f>
        <v>1069.9316193434311</v>
      </c>
    </row>
    <row r="128" spans="1:15" x14ac:dyDescent="0.25">
      <c r="A128" s="1">
        <v>45238</v>
      </c>
      <c r="B128">
        <v>-0.77791582511100799</v>
      </c>
      <c r="C128">
        <v>0.112582904917313</v>
      </c>
      <c r="D128">
        <v>0.58851053174111501</v>
      </c>
      <c r="E128">
        <v>1.2882425857737301</v>
      </c>
      <c r="F128" s="3">
        <v>-0.192616007110093</v>
      </c>
      <c r="G128" t="str">
        <f t="shared" si="10"/>
        <v>sell</v>
      </c>
      <c r="H128">
        <f t="shared" si="11"/>
        <v>0</v>
      </c>
      <c r="I128" t="str">
        <f t="shared" si="12"/>
        <v>sell</v>
      </c>
      <c r="J128">
        <f t="shared" ref="J128:J191" si="14">IF(I128="buy",1,0)</f>
        <v>0</v>
      </c>
      <c r="K128">
        <f t="shared" ref="K128:K191" si="15">IF(I128="sell",1,0)</f>
        <v>1</v>
      </c>
      <c r="L128">
        <f t="shared" si="13"/>
        <v>0</v>
      </c>
      <c r="M128">
        <f>IF(I128="sell",N127+(N127*E128/100),IF(I128="buy",0,M127))</f>
        <v>1056.4228381659714</v>
      </c>
      <c r="N128">
        <f>IF(I128="buy",M127,IF(I128="sell",0,IF(AND(I128="keep",N127&lt;&gt;0),N127+(N127*E127/100),N127)))</f>
        <v>0</v>
      </c>
      <c r="O128">
        <f>O127+(O127*E128/100)</f>
        <v>1083.7149341024717</v>
      </c>
    </row>
    <row r="129" spans="1:15" x14ac:dyDescent="0.25">
      <c r="A129" s="1">
        <v>45239</v>
      </c>
      <c r="B129">
        <v>0.65077894808480696</v>
      </c>
      <c r="C129">
        <v>-0.81850635026700003</v>
      </c>
      <c r="D129">
        <v>-0.26245302586699298</v>
      </c>
      <c r="E129">
        <v>1.1526261553555399</v>
      </c>
      <c r="F129" s="3">
        <v>0.32436555568283598</v>
      </c>
      <c r="G129" t="str">
        <f t="shared" si="10"/>
        <v>buy</v>
      </c>
      <c r="H129">
        <f t="shared" si="11"/>
        <v>0</v>
      </c>
      <c r="I129" t="str">
        <f t="shared" si="12"/>
        <v>buy</v>
      </c>
      <c r="J129">
        <f t="shared" si="14"/>
        <v>1</v>
      </c>
      <c r="K129">
        <f t="shared" si="15"/>
        <v>0</v>
      </c>
      <c r="L129">
        <f t="shared" si="13"/>
        <v>0</v>
      </c>
      <c r="M129">
        <f>IF(I129="sell",N128+(N128*E129/100),IF(I129="buy",0,M128))</f>
        <v>0</v>
      </c>
      <c r="N129">
        <f>IF(I129="buy",M128,IF(I129="sell",0,IF(AND(I129="keep",N128&lt;&gt;0),N128+(N128*E128/100),N128)))</f>
        <v>1056.4228381659714</v>
      </c>
      <c r="O129">
        <f>O128+(O128*E129/100)</f>
        <v>1096.2061158824308</v>
      </c>
    </row>
    <row r="130" spans="1:15" x14ac:dyDescent="0.25">
      <c r="A130" s="1">
        <v>45240</v>
      </c>
      <c r="B130">
        <v>-1.6087962718400599</v>
      </c>
      <c r="C130">
        <v>2.24665502002583</v>
      </c>
      <c r="D130">
        <v>2.3220089625433298</v>
      </c>
      <c r="E130">
        <v>-0.70727150029946595</v>
      </c>
      <c r="F130" s="3">
        <v>-9.3329809409363404E-2</v>
      </c>
      <c r="G130" t="str">
        <f t="shared" si="10"/>
        <v>keep</v>
      </c>
      <c r="H130">
        <f t="shared" si="11"/>
        <v>1</v>
      </c>
      <c r="I130" t="str">
        <f t="shared" si="12"/>
        <v>keep</v>
      </c>
      <c r="J130">
        <f t="shared" si="14"/>
        <v>0</v>
      </c>
      <c r="K130">
        <f t="shared" si="15"/>
        <v>0</v>
      </c>
      <c r="L130">
        <f t="shared" si="13"/>
        <v>0</v>
      </c>
      <c r="M130">
        <f>IF(I130="sell",N129+(N129*E130/100),IF(I130="buy",0,M129))</f>
        <v>0</v>
      </c>
      <c r="N130">
        <f>IF(I130="buy",M129,IF(I130="sell",0,IF(AND(I130="keep",N129&lt;&gt;0),N129+(N129*E129/100),N129)))</f>
        <v>1068.5994441098217</v>
      </c>
      <c r="O130">
        <f>O129+(O129*E130/100)</f>
        <v>1088.4529624402546</v>
      </c>
    </row>
    <row r="131" spans="1:15" x14ac:dyDescent="0.25">
      <c r="A131" s="1">
        <v>45243</v>
      </c>
      <c r="B131">
        <v>0.66749583861251904</v>
      </c>
      <c r="C131">
        <v>-0.29834322727482199</v>
      </c>
      <c r="D131">
        <v>-0.85837239696093803</v>
      </c>
      <c r="E131">
        <v>-1.06846419317845</v>
      </c>
      <c r="F131" s="3">
        <v>0.20226869498894801</v>
      </c>
      <c r="G131" t="str">
        <f t="shared" ref="G131:G194" si="16">IF(F131&gt;$R$2,"buy",IF(F131&lt;-$R$3,"sell","keep"))</f>
        <v>buy</v>
      </c>
      <c r="H131">
        <f t="shared" ref="H131:H194" si="17">IF(F131&lt;&gt;"",IF(OR(AND(F131&lt;0,E132&lt;0),AND(F131&gt;0,E132&gt;0)),1,0),"")</f>
        <v>1</v>
      </c>
      <c r="I131" t="str">
        <f t="shared" ref="I131:I194" si="18">IF(AND(G131="sell",N130&lt;&gt;0),"sell",IF(AND(G131="buy",M130&lt;&gt;0),"buy","keep"))</f>
        <v>keep</v>
      </c>
      <c r="J131">
        <f t="shared" si="14"/>
        <v>0</v>
      </c>
      <c r="K131">
        <f t="shared" si="15"/>
        <v>0</v>
      </c>
      <c r="L131">
        <f t="shared" ref="L131:L194" si="19">IF(AND(H131=1,OR(J131=1,K131=1)),1,0)</f>
        <v>0</v>
      </c>
      <c r="M131">
        <f>IF(I131="sell",N130+(N130*E131/100),IF(I131="buy",0,M130))</f>
        <v>0</v>
      </c>
      <c r="N131">
        <f>IF(I131="buy",M130,IF(I131="sell",0,IF(AND(I131="keep",N130&lt;&gt;0),N130+(N130*E130/100),N130)))</f>
        <v>1061.0415447892744</v>
      </c>
      <c r="O131">
        <f>O130+(O130*E131/100)</f>
        <v>1076.8232322769904</v>
      </c>
    </row>
    <row r="132" spans="1:15" x14ac:dyDescent="0.25">
      <c r="A132" s="1">
        <v>45244</v>
      </c>
      <c r="B132">
        <v>0.83783340159984099</v>
      </c>
      <c r="C132">
        <v>2.12932996358039</v>
      </c>
      <c r="D132">
        <v>1.4285765485803199</v>
      </c>
      <c r="E132">
        <v>7.2399950866149201</v>
      </c>
      <c r="F132" s="3">
        <v>0.97770044181708704</v>
      </c>
      <c r="G132" t="str">
        <f t="shared" si="16"/>
        <v>buy</v>
      </c>
      <c r="H132">
        <f t="shared" si="17"/>
        <v>1</v>
      </c>
      <c r="I132" t="str">
        <f t="shared" si="18"/>
        <v>keep</v>
      </c>
      <c r="J132">
        <f t="shared" si="14"/>
        <v>0</v>
      </c>
      <c r="K132">
        <f t="shared" si="15"/>
        <v>0</v>
      </c>
      <c r="L132">
        <f t="shared" si="19"/>
        <v>0</v>
      </c>
      <c r="M132">
        <f>IF(I132="sell",N131+(N131*E132/100),IF(I132="buy",0,M131))</f>
        <v>0</v>
      </c>
      <c r="N132">
        <f>IF(I132="buy",M131,IF(I132="sell",0,IF(AND(I132="keep",N131&lt;&gt;0),N131+(N131*E131/100),N131)))</f>
        <v>1049.7046958084536</v>
      </c>
      <c r="O132">
        <f>O131+(O131*E132/100)</f>
        <v>1154.7851813853724</v>
      </c>
    </row>
    <row r="133" spans="1:15" x14ac:dyDescent="0.25">
      <c r="A133" s="1">
        <v>45245</v>
      </c>
      <c r="B133">
        <v>-8.66588439124127E-2</v>
      </c>
      <c r="C133">
        <v>2.9786371256013099E-2</v>
      </c>
      <c r="D133">
        <v>0.30409698496458498</v>
      </c>
      <c r="E133">
        <v>0.67139356887788704</v>
      </c>
      <c r="F133" s="3">
        <v>0.13014740500882899</v>
      </c>
      <c r="G133" t="str">
        <f t="shared" si="16"/>
        <v>keep</v>
      </c>
      <c r="H133">
        <f t="shared" si="17"/>
        <v>0</v>
      </c>
      <c r="I133" t="str">
        <f t="shared" si="18"/>
        <v>keep</v>
      </c>
      <c r="J133">
        <f t="shared" si="14"/>
        <v>0</v>
      </c>
      <c r="K133">
        <f t="shared" si="15"/>
        <v>0</v>
      </c>
      <c r="L133">
        <f t="shared" si="19"/>
        <v>0</v>
      </c>
      <c r="M133">
        <f>IF(I133="sell",N132+(N132*E133/100),IF(I133="buy",0,M132))</f>
        <v>0</v>
      </c>
      <c r="N133">
        <f>IF(I133="buy",M132,IF(I133="sell",0,IF(AND(I133="keep",N132&lt;&gt;0),N132+(N132*E132/100),N132)))</f>
        <v>1125.7032642089516</v>
      </c>
      <c r="O133">
        <f>O132+(O132*E133/100)</f>
        <v>1162.5383348275486</v>
      </c>
    </row>
    <row r="134" spans="1:15" x14ac:dyDescent="0.25">
      <c r="A134" s="1">
        <v>45246</v>
      </c>
      <c r="B134">
        <v>1.2142262703212601</v>
      </c>
      <c r="C134">
        <v>0.10109409320067</v>
      </c>
      <c r="D134">
        <v>0.90419993200148097</v>
      </c>
      <c r="E134">
        <v>-1.59318127772285</v>
      </c>
      <c r="F134" s="3">
        <v>0.99265850437645997</v>
      </c>
      <c r="G134" t="str">
        <f t="shared" si="16"/>
        <v>buy</v>
      </c>
      <c r="H134">
        <f t="shared" si="17"/>
        <v>1</v>
      </c>
      <c r="I134" t="str">
        <f t="shared" si="18"/>
        <v>keep</v>
      </c>
      <c r="J134">
        <f t="shared" si="14"/>
        <v>0</v>
      </c>
      <c r="K134">
        <f t="shared" si="15"/>
        <v>0</v>
      </c>
      <c r="L134">
        <f t="shared" si="19"/>
        <v>0</v>
      </c>
      <c r="M134">
        <f>IF(I134="sell",N133+(N133*E134/100),IF(I134="buy",0,M133))</f>
        <v>0</v>
      </c>
      <c r="N134">
        <f>IF(I134="buy",M133,IF(I134="sell",0,IF(AND(I134="keep",N133&lt;&gt;0),N133+(N133*E133/100),N133)))</f>
        <v>1133.2611635294991</v>
      </c>
      <c r="O134">
        <f>O133+(O133*E134/100)</f>
        <v>1144.0169917307251</v>
      </c>
    </row>
    <row r="135" spans="1:15" x14ac:dyDescent="0.25">
      <c r="A135" s="1">
        <v>45247</v>
      </c>
      <c r="B135">
        <v>-0.115935722557602</v>
      </c>
      <c r="C135">
        <v>3.04443931555375E-2</v>
      </c>
      <c r="D135">
        <v>-1.0538692835104699E-2</v>
      </c>
      <c r="E135">
        <v>3.0120549331486601</v>
      </c>
      <c r="F135" s="3">
        <v>4.9567365215206001E-2</v>
      </c>
      <c r="G135" t="str">
        <f t="shared" si="16"/>
        <v>keep</v>
      </c>
      <c r="H135">
        <f t="shared" si="17"/>
        <v>1</v>
      </c>
      <c r="I135" t="str">
        <f t="shared" si="18"/>
        <v>keep</v>
      </c>
      <c r="J135">
        <f t="shared" si="14"/>
        <v>0</v>
      </c>
      <c r="K135">
        <f t="shared" si="15"/>
        <v>0</v>
      </c>
      <c r="L135">
        <f t="shared" si="19"/>
        <v>0</v>
      </c>
      <c r="M135">
        <f>IF(I135="sell",N134+(N134*E135/100),IF(I135="buy",0,M134))</f>
        <v>0</v>
      </c>
      <c r="N135">
        <f>IF(I135="buy",M134,IF(I135="sell",0,IF(AND(I135="keep",N134&lt;&gt;0),N134+(N134*E134/100),N134)))</f>
        <v>1115.206258844443</v>
      </c>
      <c r="O135">
        <f>O134+(O134*E135/100)</f>
        <v>1178.4754119662093</v>
      </c>
    </row>
    <row r="136" spans="1:15" x14ac:dyDescent="0.25">
      <c r="A136" s="1">
        <v>45250</v>
      </c>
      <c r="B136">
        <v>-0.19681189251676801</v>
      </c>
      <c r="C136">
        <v>1.19377100970261</v>
      </c>
      <c r="D136">
        <v>0.92781939746102704</v>
      </c>
      <c r="E136">
        <v>1.4254307557834001</v>
      </c>
      <c r="F136" s="3">
        <v>0.23470887797019399</v>
      </c>
      <c r="G136" t="str">
        <f t="shared" si="16"/>
        <v>buy</v>
      </c>
      <c r="H136">
        <f t="shared" si="17"/>
        <v>0</v>
      </c>
      <c r="I136" t="str">
        <f t="shared" si="18"/>
        <v>keep</v>
      </c>
      <c r="J136">
        <f t="shared" si="14"/>
        <v>0</v>
      </c>
      <c r="K136">
        <f t="shared" si="15"/>
        <v>0</v>
      </c>
      <c r="L136">
        <f t="shared" si="19"/>
        <v>0</v>
      </c>
      <c r="M136">
        <f>IF(I136="sell",N135+(N135*E136/100),IF(I136="buy",0,M135))</f>
        <v>0</v>
      </c>
      <c r="N136">
        <f>IF(I136="buy",M135,IF(I136="sell",0,IF(AND(I136="keep",N135&lt;&gt;0),N135+(N135*E135/100),N135)))</f>
        <v>1148.7968839787497</v>
      </c>
      <c r="O136">
        <f>O135+(O135*E136/100)</f>
        <v>1195.2737629377209</v>
      </c>
    </row>
    <row r="137" spans="1:15" x14ac:dyDescent="0.25">
      <c r="A137" s="1">
        <v>45251</v>
      </c>
      <c r="B137">
        <v>1.09218274710736</v>
      </c>
      <c r="C137">
        <v>-0.58301058104308601</v>
      </c>
      <c r="D137">
        <v>-0.4230827621712</v>
      </c>
      <c r="E137">
        <v>-2.99098544878763</v>
      </c>
      <c r="F137" s="3">
        <v>0.70821003779520897</v>
      </c>
      <c r="G137" t="str">
        <f t="shared" si="16"/>
        <v>buy</v>
      </c>
      <c r="H137">
        <f t="shared" si="17"/>
        <v>1</v>
      </c>
      <c r="I137" t="str">
        <f t="shared" si="18"/>
        <v>keep</v>
      </c>
      <c r="J137">
        <f t="shared" si="14"/>
        <v>0</v>
      </c>
      <c r="K137">
        <f t="shared" si="15"/>
        <v>0</v>
      </c>
      <c r="L137">
        <f t="shared" si="19"/>
        <v>0</v>
      </c>
      <c r="M137">
        <f>IF(I137="sell",N136+(N136*E137/100),IF(I137="buy",0,M136))</f>
        <v>0</v>
      </c>
      <c r="N137">
        <f>IF(I137="buy",M136,IF(I137="sell",0,IF(AND(I137="keep",N136&lt;&gt;0),N136+(N136*E136/100),N136)))</f>
        <v>1165.1721880844641</v>
      </c>
      <c r="O137">
        <f>O136+(O136*E137/100)</f>
        <v>1159.5232986150772</v>
      </c>
    </row>
    <row r="138" spans="1:15" x14ac:dyDescent="0.25">
      <c r="A138" s="1">
        <v>45252</v>
      </c>
      <c r="B138">
        <v>-0.39513950988462299</v>
      </c>
      <c r="C138">
        <v>0.42532413068450098</v>
      </c>
      <c r="D138">
        <v>0.35144514424294498</v>
      </c>
      <c r="E138">
        <v>1.07726105227521</v>
      </c>
      <c r="F138" s="3">
        <v>-6.0266947217602999E-2</v>
      </c>
      <c r="G138" t="str">
        <f t="shared" si="16"/>
        <v>keep</v>
      </c>
      <c r="H138">
        <f t="shared" si="17"/>
        <v>0</v>
      </c>
      <c r="I138" t="str">
        <f t="shared" si="18"/>
        <v>keep</v>
      </c>
      <c r="J138">
        <f t="shared" si="14"/>
        <v>0</v>
      </c>
      <c r="K138">
        <f t="shared" si="15"/>
        <v>0</v>
      </c>
      <c r="L138">
        <f t="shared" si="19"/>
        <v>0</v>
      </c>
      <c r="M138">
        <f>IF(I138="sell",N137+(N137*E138/100),IF(I138="buy",0,M137))</f>
        <v>0</v>
      </c>
      <c r="N138">
        <f>IF(I138="buy",M137,IF(I138="sell",0,IF(AND(I138="keep",N137&lt;&gt;0),N137+(N137*E137/100),N137)))</f>
        <v>1130.3220574855372</v>
      </c>
      <c r="O138">
        <f>O137+(O137*E138/100)</f>
        <v>1172.0143915031142</v>
      </c>
    </row>
    <row r="139" spans="1:15" x14ac:dyDescent="0.25">
      <c r="A139" s="1">
        <v>45257</v>
      </c>
      <c r="B139">
        <v>0.47947746930225799</v>
      </c>
      <c r="C139">
        <v>-0.12532401849785199</v>
      </c>
      <c r="D139">
        <v>-9.4750862232040295E-2</v>
      </c>
      <c r="E139">
        <v>2.4426303983732001</v>
      </c>
      <c r="F139" s="3">
        <v>0.41013229707896098</v>
      </c>
      <c r="G139" t="str">
        <f t="shared" si="16"/>
        <v>buy</v>
      </c>
      <c r="H139">
        <f t="shared" si="17"/>
        <v>0</v>
      </c>
      <c r="I139" t="str">
        <f t="shared" si="18"/>
        <v>keep</v>
      </c>
      <c r="J139">
        <f t="shared" si="14"/>
        <v>0</v>
      </c>
      <c r="K139">
        <f t="shared" si="15"/>
        <v>0</v>
      </c>
      <c r="L139">
        <f t="shared" si="19"/>
        <v>0</v>
      </c>
      <c r="M139">
        <f>IF(I139="sell",N138+(N138*E139/100),IF(I139="buy",0,M138))</f>
        <v>0</v>
      </c>
      <c r="N139">
        <f>IF(I139="buy",M138,IF(I139="sell",0,IF(AND(I139="keep",N138&lt;&gt;0),N138+(N138*E138/100),N138)))</f>
        <v>1142.4985767761048</v>
      </c>
      <c r="O139">
        <f>O138+(O138*E139/100)</f>
        <v>1200.642371303278</v>
      </c>
    </row>
    <row r="140" spans="1:15" x14ac:dyDescent="0.25">
      <c r="A140" s="1">
        <v>45258</v>
      </c>
      <c r="B140">
        <v>1.3868128872947101</v>
      </c>
      <c r="C140">
        <v>0.30352886876947499</v>
      </c>
      <c r="D140">
        <v>0.32141640069305299</v>
      </c>
      <c r="E140">
        <v>-0.18064555379988501</v>
      </c>
      <c r="F140" s="3">
        <v>1.0523904172877701</v>
      </c>
      <c r="G140" t="str">
        <f t="shared" si="16"/>
        <v>buy</v>
      </c>
      <c r="H140">
        <f t="shared" si="17"/>
        <v>1</v>
      </c>
      <c r="I140" t="str">
        <f t="shared" si="18"/>
        <v>keep</v>
      </c>
      <c r="J140">
        <f t="shared" si="14"/>
        <v>0</v>
      </c>
      <c r="K140">
        <f t="shared" si="15"/>
        <v>0</v>
      </c>
      <c r="L140">
        <f t="shared" si="19"/>
        <v>0</v>
      </c>
      <c r="M140">
        <f>IF(I140="sell",N139+(N139*E140/100),IF(I140="buy",0,M139))</f>
        <v>0</v>
      </c>
      <c r="N140">
        <f>IF(I140="buy",M139,IF(I140="sell",0,IF(AND(I140="keep",N139&lt;&gt;0),N139+(N139*E139/100),N139)))</f>
        <v>1170.405594313419</v>
      </c>
      <c r="O140">
        <f>O139+(O139*E140/100)</f>
        <v>1198.473464242481</v>
      </c>
    </row>
    <row r="141" spans="1:15" x14ac:dyDescent="0.25">
      <c r="A141" s="1">
        <v>45259</v>
      </c>
      <c r="B141">
        <v>0.36279965638137401</v>
      </c>
      <c r="C141">
        <v>-0.14259503692661801</v>
      </c>
      <c r="D141">
        <v>-0.54096995343941801</v>
      </c>
      <c r="E141">
        <v>3.6192552499868502</v>
      </c>
      <c r="F141" s="3">
        <v>0.27359076383469</v>
      </c>
      <c r="G141" t="str">
        <f t="shared" si="16"/>
        <v>buy</v>
      </c>
      <c r="H141">
        <f t="shared" si="17"/>
        <v>1</v>
      </c>
      <c r="I141" t="str">
        <f t="shared" si="18"/>
        <v>keep</v>
      </c>
      <c r="J141">
        <f t="shared" si="14"/>
        <v>0</v>
      </c>
      <c r="K141">
        <f t="shared" si="15"/>
        <v>0</v>
      </c>
      <c r="L141">
        <f t="shared" si="19"/>
        <v>0</v>
      </c>
      <c r="M141">
        <f>IF(I141="sell",N140+(N140*E141/100),IF(I141="buy",0,M140))</f>
        <v>0</v>
      </c>
      <c r="N141">
        <f>IF(I141="buy",M140,IF(I141="sell",0,IF(AND(I141="keep",N140&lt;&gt;0),N140+(N140*E140/100),N140)))</f>
        <v>1168.2913086458666</v>
      </c>
      <c r="O141">
        <f>O140+(O140*E141/100)</f>
        <v>1241.8492780167762</v>
      </c>
    </row>
    <row r="142" spans="1:15" x14ac:dyDescent="0.25">
      <c r="A142" s="1">
        <v>45260</v>
      </c>
      <c r="B142">
        <v>-0.43964633419645199</v>
      </c>
      <c r="C142">
        <v>-0.24850192122777201</v>
      </c>
      <c r="D142">
        <v>0.30628469250011298</v>
      </c>
      <c r="E142">
        <v>1.9560033325697299</v>
      </c>
      <c r="F142" s="3">
        <v>-7.9619824344447795E-2</v>
      </c>
      <c r="G142" t="str">
        <f t="shared" si="16"/>
        <v>keep</v>
      </c>
      <c r="H142">
        <f t="shared" si="17"/>
        <v>0</v>
      </c>
      <c r="I142" t="str">
        <f t="shared" si="18"/>
        <v>keep</v>
      </c>
      <c r="J142">
        <f t="shared" si="14"/>
        <v>0</v>
      </c>
      <c r="K142">
        <f t="shared" si="15"/>
        <v>0</v>
      </c>
      <c r="L142">
        <f t="shared" si="19"/>
        <v>0</v>
      </c>
      <c r="M142">
        <f>IF(I142="sell",N141+(N141*E142/100),IF(I142="buy",0,M141))</f>
        <v>0</v>
      </c>
      <c r="N142">
        <f>IF(I142="buy",M141,IF(I142="sell",0,IF(AND(I142="keep",N141&lt;&gt;0),N141+(N141*E141/100),N141)))</f>
        <v>1210.5747531691723</v>
      </c>
      <c r="O142">
        <f>O141+(O141*E142/100)</f>
        <v>1266.1398912802774</v>
      </c>
    </row>
    <row r="143" spans="1:15" x14ac:dyDescent="0.25">
      <c r="A143" s="1">
        <v>45261</v>
      </c>
      <c r="B143">
        <v>1.6142497820600801</v>
      </c>
      <c r="C143">
        <v>0.31170282032788599</v>
      </c>
      <c r="D143">
        <v>0.67911385733168095</v>
      </c>
      <c r="E143">
        <v>2.7406634413003901</v>
      </c>
      <c r="F143" s="3">
        <v>1.3857987502567699</v>
      </c>
      <c r="G143" t="str">
        <f t="shared" si="16"/>
        <v>buy</v>
      </c>
      <c r="H143">
        <f t="shared" si="17"/>
        <v>1</v>
      </c>
      <c r="I143" t="str">
        <f t="shared" si="18"/>
        <v>keep</v>
      </c>
      <c r="J143">
        <f t="shared" si="14"/>
        <v>0</v>
      </c>
      <c r="K143">
        <f t="shared" si="15"/>
        <v>0</v>
      </c>
      <c r="L143">
        <f t="shared" si="19"/>
        <v>0</v>
      </c>
      <c r="M143">
        <f>IF(I143="sell",N142+(N142*E143/100),IF(I143="buy",0,M142))</f>
        <v>0</v>
      </c>
      <c r="N143">
        <f>IF(I143="buy",M142,IF(I143="sell",0,IF(AND(I143="keep",N142&lt;&gt;0),N142+(N142*E142/100),N142)))</f>
        <v>1234.2536356844091</v>
      </c>
      <c r="O143">
        <f>O142+(O142*E143/100)</f>
        <v>1300.8405243963166</v>
      </c>
    </row>
    <row r="144" spans="1:15" x14ac:dyDescent="0.25">
      <c r="A144" s="1">
        <v>45264</v>
      </c>
      <c r="B144">
        <v>-2.2646076491580098</v>
      </c>
      <c r="C144">
        <v>-0.98708776876775794</v>
      </c>
      <c r="D144">
        <v>-0.94645158780522998</v>
      </c>
      <c r="E144">
        <v>2.2007293948233202</v>
      </c>
      <c r="F144" s="3">
        <v>-1.5443532595320499</v>
      </c>
      <c r="G144" t="str">
        <f t="shared" si="16"/>
        <v>sell</v>
      </c>
      <c r="H144">
        <f t="shared" si="17"/>
        <v>0</v>
      </c>
      <c r="I144" t="str">
        <f t="shared" si="18"/>
        <v>sell</v>
      </c>
      <c r="J144">
        <f t="shared" si="14"/>
        <v>0</v>
      </c>
      <c r="K144">
        <f t="shared" si="15"/>
        <v>1</v>
      </c>
      <c r="L144">
        <f t="shared" si="19"/>
        <v>0</v>
      </c>
      <c r="M144">
        <f>IF(I144="sell",N143+(N143*E144/100),IF(I144="buy",0,M143))</f>
        <v>1261.4162182515915</v>
      </c>
      <c r="N144">
        <f>IF(I144="buy",M143,IF(I144="sell",0,IF(AND(I144="keep",N143&lt;&gt;0),N143+(N143*E143/100),N143)))</f>
        <v>0</v>
      </c>
      <c r="O144">
        <f>O143+(O143*E144/100)</f>
        <v>1329.4685041964801</v>
      </c>
    </row>
    <row r="145" spans="1:15" x14ac:dyDescent="0.25">
      <c r="A145" s="1">
        <v>45265</v>
      </c>
      <c r="B145">
        <v>-0.276664969788187</v>
      </c>
      <c r="C145">
        <v>0.240156766208654</v>
      </c>
      <c r="D145">
        <v>2.1063250899166102</v>
      </c>
      <c r="E145">
        <v>1.79445578106245</v>
      </c>
      <c r="F145" s="3">
        <v>0.503521207254922</v>
      </c>
      <c r="G145" t="str">
        <f t="shared" si="16"/>
        <v>buy</v>
      </c>
      <c r="H145">
        <f t="shared" si="17"/>
        <v>1</v>
      </c>
      <c r="I145" t="str">
        <f t="shared" si="18"/>
        <v>buy</v>
      </c>
      <c r="J145">
        <f t="shared" si="14"/>
        <v>1</v>
      </c>
      <c r="K145">
        <f t="shared" si="15"/>
        <v>0</v>
      </c>
      <c r="L145">
        <f t="shared" si="19"/>
        <v>1</v>
      </c>
      <c r="M145">
        <f>IF(I145="sell",N144+(N144*E145/100),IF(I145="buy",0,M144))</f>
        <v>0</v>
      </c>
      <c r="N145">
        <f>IF(I145="buy",M144,IF(I145="sell",0,IF(AND(I145="keep",N144&lt;&gt;0),N144+(N144*E144/100),N144)))</f>
        <v>1261.4162182515915</v>
      </c>
      <c r="O145">
        <f>O144+(O144*E145/100)</f>
        <v>1353.3252286274383</v>
      </c>
    </row>
    <row r="146" spans="1:15" x14ac:dyDescent="0.25">
      <c r="A146" s="1">
        <v>45266</v>
      </c>
      <c r="B146">
        <v>0.59450086698042903</v>
      </c>
      <c r="C146">
        <v>-0.56469198940264298</v>
      </c>
      <c r="D146">
        <v>-0.56870134236578496</v>
      </c>
      <c r="E146">
        <v>1.8589724636384199</v>
      </c>
      <c r="F146" s="3">
        <v>0.45133381557727298</v>
      </c>
      <c r="G146" t="str">
        <f t="shared" si="16"/>
        <v>buy</v>
      </c>
      <c r="H146">
        <f t="shared" si="17"/>
        <v>0</v>
      </c>
      <c r="I146" t="str">
        <f t="shared" si="18"/>
        <v>keep</v>
      </c>
      <c r="J146">
        <f t="shared" si="14"/>
        <v>0</v>
      </c>
      <c r="K146">
        <f t="shared" si="15"/>
        <v>0</v>
      </c>
      <c r="L146">
        <f t="shared" si="19"/>
        <v>0</v>
      </c>
      <c r="M146">
        <f>IF(I146="sell",N145+(N145*E146/100),IF(I146="buy",0,M145))</f>
        <v>0</v>
      </c>
      <c r="N146">
        <f>IF(I146="buy",M145,IF(I146="sell",0,IF(AND(I146="keep",N145&lt;&gt;0),N145+(N145*E145/100),N145)))</f>
        <v>1284.0517745032666</v>
      </c>
      <c r="O146">
        <f>O145+(O145*E146/100)</f>
        <v>1378.483171971094</v>
      </c>
    </row>
    <row r="147" spans="1:15" x14ac:dyDescent="0.25">
      <c r="A147" s="1">
        <v>45267</v>
      </c>
      <c r="B147">
        <v>-2.9548169708815099E-2</v>
      </c>
      <c r="C147">
        <v>1.48492329697296</v>
      </c>
      <c r="D147">
        <v>1.0139221884919201</v>
      </c>
      <c r="E147">
        <v>-1.69918107029983</v>
      </c>
      <c r="F147" s="3">
        <v>0.37656953919672598</v>
      </c>
      <c r="G147" t="str">
        <f t="shared" si="16"/>
        <v>buy</v>
      </c>
      <c r="H147">
        <f t="shared" si="17"/>
        <v>1</v>
      </c>
      <c r="I147" t="str">
        <f t="shared" si="18"/>
        <v>keep</v>
      </c>
      <c r="J147">
        <f t="shared" si="14"/>
        <v>0</v>
      </c>
      <c r="K147">
        <f t="shared" si="15"/>
        <v>0</v>
      </c>
      <c r="L147">
        <f t="shared" si="19"/>
        <v>0</v>
      </c>
      <c r="M147">
        <f>IF(I147="sell",N146+(N146*E147/100),IF(I147="buy",0,M146))</f>
        <v>0</v>
      </c>
      <c r="N147">
        <f>IF(I147="buy",M146,IF(I147="sell",0,IF(AND(I147="keep",N146&lt;&gt;0),N146+(N146*E146/100),N146)))</f>
        <v>1307.9219434101428</v>
      </c>
      <c r="O147">
        <f>O146+(O146*E147/100)</f>
        <v>1355.0602468556924</v>
      </c>
    </row>
    <row r="148" spans="1:15" x14ac:dyDescent="0.25">
      <c r="A148" s="1">
        <v>45268</v>
      </c>
      <c r="B148">
        <v>-1.55672571091568</v>
      </c>
      <c r="C148">
        <v>0.38820554359930698</v>
      </c>
      <c r="D148">
        <v>0.74123695368570797</v>
      </c>
      <c r="E148">
        <v>1.1843792867564</v>
      </c>
      <c r="F148" s="3">
        <v>-0.48714111390162501</v>
      </c>
      <c r="G148" t="str">
        <f t="shared" si="16"/>
        <v>sell</v>
      </c>
      <c r="H148">
        <f t="shared" si="17"/>
        <v>0</v>
      </c>
      <c r="I148" t="str">
        <f t="shared" si="18"/>
        <v>sell</v>
      </c>
      <c r="J148">
        <f t="shared" si="14"/>
        <v>0</v>
      </c>
      <c r="K148">
        <f t="shared" si="15"/>
        <v>1</v>
      </c>
      <c r="L148">
        <f t="shared" si="19"/>
        <v>0</v>
      </c>
      <c r="M148">
        <f>IF(I148="sell",N147+(N147*E148/100),IF(I148="buy",0,M147))</f>
        <v>1323.4126999948344</v>
      </c>
      <c r="N148">
        <f>IF(I148="buy",M147,IF(I148="sell",0,IF(AND(I148="keep",N147&lt;&gt;0),N147+(N147*E147/100),N147)))</f>
        <v>0</v>
      </c>
      <c r="O148">
        <f>O147+(O147*E148/100)</f>
        <v>1371.1092997425214</v>
      </c>
    </row>
    <row r="149" spans="1:15" x14ac:dyDescent="0.25">
      <c r="A149" s="1">
        <v>45271</v>
      </c>
      <c r="B149">
        <v>-1.01586590262207</v>
      </c>
      <c r="C149">
        <v>0.85199052889177695</v>
      </c>
      <c r="D149">
        <v>-1.2927301196162</v>
      </c>
      <c r="E149">
        <v>0.88578843423050502</v>
      </c>
      <c r="F149" s="3">
        <v>-0.66704372909360099</v>
      </c>
      <c r="G149" t="str">
        <f t="shared" si="16"/>
        <v>sell</v>
      </c>
      <c r="H149">
        <f t="shared" si="17"/>
        <v>1</v>
      </c>
      <c r="I149" t="str">
        <f t="shared" si="18"/>
        <v>keep</v>
      </c>
      <c r="J149">
        <f t="shared" si="14"/>
        <v>0</v>
      </c>
      <c r="K149">
        <f t="shared" si="15"/>
        <v>0</v>
      </c>
      <c r="L149">
        <f t="shared" si="19"/>
        <v>0</v>
      </c>
      <c r="M149">
        <f>IF(I149="sell",N148+(N148*E149/100),IF(I149="buy",0,M148))</f>
        <v>1323.4126999948344</v>
      </c>
      <c r="N149">
        <f>IF(I149="buy",M148,IF(I149="sell",0,IF(AND(I149="keep",N148&lt;&gt;0),N148+(N148*E148/100),N148)))</f>
        <v>0</v>
      </c>
      <c r="O149">
        <f>O148+(O148*E149/100)</f>
        <v>1383.2544273402996</v>
      </c>
    </row>
    <row r="150" spans="1:15" x14ac:dyDescent="0.25">
      <c r="A150" s="1">
        <v>45272</v>
      </c>
      <c r="B150">
        <v>-1.01087548976197E-2</v>
      </c>
      <c r="C150">
        <v>0.816925983977423</v>
      </c>
      <c r="D150">
        <v>0.79202347350459901</v>
      </c>
      <c r="E150">
        <v>-1.7873894736515099</v>
      </c>
      <c r="F150" s="3">
        <v>0.37358160069463803</v>
      </c>
      <c r="G150" t="str">
        <f t="shared" si="16"/>
        <v>buy</v>
      </c>
      <c r="H150">
        <f t="shared" si="17"/>
        <v>1</v>
      </c>
      <c r="I150" t="str">
        <f t="shared" si="18"/>
        <v>buy</v>
      </c>
      <c r="J150">
        <f t="shared" si="14"/>
        <v>1</v>
      </c>
      <c r="K150">
        <f t="shared" si="15"/>
        <v>0</v>
      </c>
      <c r="L150">
        <f t="shared" si="19"/>
        <v>1</v>
      </c>
      <c r="M150">
        <f>IF(I150="sell",N149+(N149*E150/100),IF(I150="buy",0,M149))</f>
        <v>0</v>
      </c>
      <c r="N150">
        <f>IF(I150="buy",M149,IF(I150="sell",0,IF(AND(I150="keep",N149&lt;&gt;0),N149+(N149*E149/100),N149)))</f>
        <v>1323.4126999948344</v>
      </c>
      <c r="O150">
        <f>O149+(O149*E150/100)</f>
        <v>1358.5302833122005</v>
      </c>
    </row>
    <row r="151" spans="1:15" x14ac:dyDescent="0.25">
      <c r="A151" s="1">
        <v>45273</v>
      </c>
      <c r="B151">
        <v>0.227525527803806</v>
      </c>
      <c r="C151">
        <v>1.27256915251388</v>
      </c>
      <c r="D151">
        <v>1.66913822763052</v>
      </c>
      <c r="E151">
        <v>0.35121373036739401</v>
      </c>
      <c r="F151" s="3">
        <v>0.71079912142083601</v>
      </c>
      <c r="G151" t="str">
        <f t="shared" si="16"/>
        <v>buy</v>
      </c>
      <c r="H151">
        <f t="shared" si="17"/>
        <v>1</v>
      </c>
      <c r="I151" t="str">
        <f t="shared" si="18"/>
        <v>keep</v>
      </c>
      <c r="J151">
        <f t="shared" si="14"/>
        <v>0</v>
      </c>
      <c r="K151">
        <f t="shared" si="15"/>
        <v>0</v>
      </c>
      <c r="L151">
        <f t="shared" si="19"/>
        <v>0</v>
      </c>
      <c r="M151">
        <f>IF(I151="sell",N150+(N150*E151/100),IF(I151="buy",0,M150))</f>
        <v>0</v>
      </c>
      <c r="N151">
        <f>IF(I151="buy",M150,IF(I151="sell",0,IF(AND(I151="keep",N150&lt;&gt;0),N150+(N150*E150/100),N150)))</f>
        <v>1299.7581607021596</v>
      </c>
      <c r="O151">
        <f>O150+(O150*E151/100)</f>
        <v>1363.3016281983919</v>
      </c>
    </row>
    <row r="152" spans="1:15" x14ac:dyDescent="0.25">
      <c r="A152" s="1">
        <v>45274</v>
      </c>
      <c r="B152">
        <v>2.4163800213830902</v>
      </c>
      <c r="C152">
        <v>-0.14816154797448999</v>
      </c>
      <c r="D152">
        <v>7.5769529911462394E-2</v>
      </c>
      <c r="E152">
        <v>5.5042867376734401</v>
      </c>
      <c r="F152" s="3">
        <v>1.6163621996458499</v>
      </c>
      <c r="G152" t="str">
        <f t="shared" si="16"/>
        <v>buy</v>
      </c>
      <c r="H152">
        <f t="shared" si="17"/>
        <v>1</v>
      </c>
      <c r="I152" t="str">
        <f t="shared" si="18"/>
        <v>keep</v>
      </c>
      <c r="J152">
        <f t="shared" si="14"/>
        <v>0</v>
      </c>
      <c r="K152">
        <f t="shared" si="15"/>
        <v>0</v>
      </c>
      <c r="L152">
        <f t="shared" si="19"/>
        <v>0</v>
      </c>
      <c r="M152">
        <f>IF(I152="sell",N151+(N151*E152/100),IF(I152="buy",0,M151))</f>
        <v>0</v>
      </c>
      <c r="N152">
        <f>IF(I152="buy",M151,IF(I152="sell",0,IF(AND(I152="keep",N151&lt;&gt;0),N151+(N151*E151/100),N151)))</f>
        <v>1304.3230898241163</v>
      </c>
      <c r="O152">
        <f>O151+(O151*E152/100)</f>
        <v>1438.3416589138021</v>
      </c>
    </row>
    <row r="153" spans="1:15" x14ac:dyDescent="0.25">
      <c r="A153" s="1">
        <v>45275</v>
      </c>
      <c r="B153">
        <v>-0.44823050954585397</v>
      </c>
      <c r="C153">
        <v>0.51771689647635</v>
      </c>
      <c r="D153">
        <v>-0.27257311728388001</v>
      </c>
      <c r="E153">
        <v>0.27142471900489701</v>
      </c>
      <c r="F153" s="3">
        <v>-0.103998433157409</v>
      </c>
      <c r="G153" t="str">
        <f t="shared" si="16"/>
        <v>keep</v>
      </c>
      <c r="H153">
        <f t="shared" si="17"/>
        <v>0</v>
      </c>
      <c r="I153" t="str">
        <f t="shared" si="18"/>
        <v>keep</v>
      </c>
      <c r="J153">
        <f t="shared" si="14"/>
        <v>0</v>
      </c>
      <c r="K153">
        <f t="shared" si="15"/>
        <v>0</v>
      </c>
      <c r="L153">
        <f t="shared" si="19"/>
        <v>0</v>
      </c>
      <c r="M153">
        <f>IF(I153="sell",N152+(N152*E153/100),IF(I153="buy",0,M152))</f>
        <v>0</v>
      </c>
      <c r="N153">
        <f>IF(I153="buy",M152,IF(I153="sell",0,IF(AND(I153="keep",N152&lt;&gt;0),N152+(N152*E152/100),N152)))</f>
        <v>1376.1167726737176</v>
      </c>
      <c r="O153">
        <f>O152+(O152*E153/100)</f>
        <v>1442.2456737198393</v>
      </c>
    </row>
    <row r="154" spans="1:15" x14ac:dyDescent="0.25">
      <c r="A154" s="1">
        <v>45278</v>
      </c>
      <c r="B154">
        <v>0.257289263519977</v>
      </c>
      <c r="C154">
        <v>0.63976832425391905</v>
      </c>
      <c r="D154">
        <v>-0.850343795480901</v>
      </c>
      <c r="E154">
        <v>0.45112103409390403</v>
      </c>
      <c r="F154" s="3">
        <v>9.6784458742495805E-2</v>
      </c>
      <c r="G154" t="str">
        <f t="shared" si="16"/>
        <v>keep</v>
      </c>
      <c r="H154">
        <f t="shared" si="17"/>
        <v>1</v>
      </c>
      <c r="I154" t="str">
        <f t="shared" si="18"/>
        <v>keep</v>
      </c>
      <c r="J154">
        <f t="shared" si="14"/>
        <v>0</v>
      </c>
      <c r="K154">
        <f t="shared" si="15"/>
        <v>0</v>
      </c>
      <c r="L154">
        <f t="shared" si="19"/>
        <v>0</v>
      </c>
      <c r="M154">
        <f>IF(I154="sell",N153+(N153*E154/100),IF(I154="buy",0,M153))</f>
        <v>0</v>
      </c>
      <c r="N154">
        <f>IF(I154="buy",M153,IF(I154="sell",0,IF(AND(I154="keep",N153&lt;&gt;0),N153+(N153*E153/100),N153)))</f>
        <v>1379.8518937571264</v>
      </c>
      <c r="O154">
        <f>O153+(O153*E154/100)</f>
        <v>1448.7519473172988</v>
      </c>
    </row>
    <row r="155" spans="1:15" x14ac:dyDescent="0.25">
      <c r="A155" s="1">
        <v>45279</v>
      </c>
      <c r="B155">
        <v>0.59714629099156802</v>
      </c>
      <c r="C155">
        <v>0.4904351773092</v>
      </c>
      <c r="D155">
        <v>0.53603077276307398</v>
      </c>
      <c r="E155">
        <v>1.58682277131116</v>
      </c>
      <c r="F155" s="3">
        <v>0.69053480240575005</v>
      </c>
      <c r="G155" t="str">
        <f t="shared" si="16"/>
        <v>buy</v>
      </c>
      <c r="H155">
        <f t="shared" si="17"/>
        <v>1</v>
      </c>
      <c r="I155" t="str">
        <f t="shared" si="18"/>
        <v>keep</v>
      </c>
      <c r="J155">
        <f t="shared" si="14"/>
        <v>0</v>
      </c>
      <c r="K155">
        <f t="shared" si="15"/>
        <v>0</v>
      </c>
      <c r="L155">
        <f t="shared" si="19"/>
        <v>0</v>
      </c>
      <c r="M155">
        <f>IF(I155="sell",N154+(N154*E155/100),IF(I155="buy",0,M154))</f>
        <v>0</v>
      </c>
      <c r="N155">
        <f>IF(I155="buy",M154,IF(I155="sell",0,IF(AND(I155="keep",N154&lt;&gt;0),N154+(N154*E154/100),N154)))</f>
        <v>1386.0766958892079</v>
      </c>
      <c r="O155">
        <f>O154+(O154*E155/100)</f>
        <v>1471.7410731171435</v>
      </c>
    </row>
    <row r="156" spans="1:15" x14ac:dyDescent="0.25">
      <c r="A156" s="1">
        <v>45280</v>
      </c>
      <c r="B156">
        <v>-0.19132772602784501</v>
      </c>
      <c r="C156">
        <v>-1.5327846674365999</v>
      </c>
      <c r="D156">
        <v>-1.0713902200633101</v>
      </c>
      <c r="E156">
        <v>1.14942514753133</v>
      </c>
      <c r="F156" s="3">
        <v>-0.113503501389836</v>
      </c>
      <c r="G156" t="str">
        <f t="shared" si="16"/>
        <v>keep</v>
      </c>
      <c r="H156">
        <f t="shared" si="17"/>
        <v>1</v>
      </c>
      <c r="I156" t="str">
        <f t="shared" si="18"/>
        <v>keep</v>
      </c>
      <c r="J156">
        <f t="shared" si="14"/>
        <v>0</v>
      </c>
      <c r="K156">
        <f t="shared" si="15"/>
        <v>0</v>
      </c>
      <c r="L156">
        <f t="shared" si="19"/>
        <v>0</v>
      </c>
      <c r="M156">
        <f>IF(I156="sell",N155+(N155*E156/100),IF(I156="buy",0,M155))</f>
        <v>0</v>
      </c>
      <c r="N156">
        <f>IF(I156="buy",M155,IF(I156="sell",0,IF(AND(I156="keep",N155&lt;&gt;0),N155+(N155*E155/100),N155)))</f>
        <v>1408.0712765274152</v>
      </c>
      <c r="O156">
        <f>O155+(O155*E156/100)</f>
        <v>1488.6576351180995</v>
      </c>
    </row>
    <row r="157" spans="1:15" x14ac:dyDescent="0.25">
      <c r="A157" s="1">
        <v>45281</v>
      </c>
      <c r="B157">
        <v>0.226098578812372</v>
      </c>
      <c r="C157">
        <v>1.2277880489350099</v>
      </c>
      <c r="D157">
        <v>-7.7002597216968505E-2</v>
      </c>
      <c r="E157">
        <v>-1.2820349382948399</v>
      </c>
      <c r="F157" s="3">
        <v>0.326292396697689</v>
      </c>
      <c r="G157" t="str">
        <f t="shared" si="16"/>
        <v>buy</v>
      </c>
      <c r="H157">
        <f t="shared" si="17"/>
        <v>0</v>
      </c>
      <c r="I157" t="str">
        <f t="shared" si="18"/>
        <v>keep</v>
      </c>
      <c r="J157">
        <f t="shared" si="14"/>
        <v>0</v>
      </c>
      <c r="K157">
        <f t="shared" si="15"/>
        <v>0</v>
      </c>
      <c r="L157">
        <f t="shared" si="19"/>
        <v>0</v>
      </c>
      <c r="M157">
        <f>IF(I157="sell",N156+(N156*E157/100),IF(I157="buy",0,M156))</f>
        <v>0</v>
      </c>
      <c r="N157">
        <f>IF(I157="buy",M156,IF(I157="sell",0,IF(AND(I157="keep",N156&lt;&gt;0),N156+(N156*E156/100),N156)))</f>
        <v>1424.2560018749866</v>
      </c>
      <c r="O157">
        <f>O156+(O156*E157/100)</f>
        <v>1469.5725241242917</v>
      </c>
    </row>
    <row r="158" spans="1:15" x14ac:dyDescent="0.25">
      <c r="A158" s="1">
        <v>45282</v>
      </c>
      <c r="B158">
        <v>0.88274838339596995</v>
      </c>
      <c r="C158">
        <v>0.119291908407115</v>
      </c>
      <c r="D158">
        <v>-0.55475100291284496</v>
      </c>
      <c r="E158">
        <v>-0.885483059342839</v>
      </c>
      <c r="F158" s="3">
        <v>0.53569823255671201</v>
      </c>
      <c r="G158" t="str">
        <f t="shared" si="16"/>
        <v>buy</v>
      </c>
      <c r="H158">
        <f t="shared" si="17"/>
        <v>0</v>
      </c>
      <c r="I158" t="str">
        <f t="shared" si="18"/>
        <v>keep</v>
      </c>
      <c r="J158">
        <f t="shared" si="14"/>
        <v>0</v>
      </c>
      <c r="K158">
        <f t="shared" si="15"/>
        <v>0</v>
      </c>
      <c r="L158">
        <f t="shared" si="19"/>
        <v>0</v>
      </c>
      <c r="M158">
        <f>IF(I158="sell",N157+(N157*E158/100),IF(I158="buy",0,M157))</f>
        <v>0</v>
      </c>
      <c r="N158">
        <f>IF(I158="buy",M157,IF(I158="sell",0,IF(AND(I158="keep",N157&lt;&gt;0),N157+(N157*E157/100),N157)))</f>
        <v>1405.9965423201882</v>
      </c>
      <c r="O158">
        <f>O157+(O157*E158/100)</f>
        <v>1456.5597083784141</v>
      </c>
    </row>
    <row r="159" spans="1:15" x14ac:dyDescent="0.25">
      <c r="A159" s="1">
        <v>45288</v>
      </c>
      <c r="B159">
        <v>-0.384264391914035</v>
      </c>
      <c r="C159">
        <v>-4.9270575981696901E-2</v>
      </c>
      <c r="D159">
        <v>0.22262621419883999</v>
      </c>
      <c r="E159">
        <v>-0.64992089451687496</v>
      </c>
      <c r="F159" s="3">
        <v>9.16898382224164E-2</v>
      </c>
      <c r="G159" t="str">
        <f t="shared" si="16"/>
        <v>keep</v>
      </c>
      <c r="H159">
        <f t="shared" si="17"/>
        <v>0</v>
      </c>
      <c r="I159" t="str">
        <f t="shared" si="18"/>
        <v>keep</v>
      </c>
      <c r="J159">
        <f t="shared" si="14"/>
        <v>0</v>
      </c>
      <c r="K159">
        <f t="shared" si="15"/>
        <v>0</v>
      </c>
      <c r="L159">
        <f t="shared" si="19"/>
        <v>0</v>
      </c>
      <c r="M159">
        <f>IF(I159="sell",N158+(N158*E159/100),IF(I159="buy",0,M158))</f>
        <v>0</v>
      </c>
      <c r="N159">
        <f>IF(I159="buy",M158,IF(I159="sell",0,IF(AND(I159="keep",N158&lt;&gt;0),N158+(N158*E158/100),N158)))</f>
        <v>1393.5466811229969</v>
      </c>
      <c r="O159">
        <f>O158+(O158*E159/100)</f>
        <v>1447.0932224925489</v>
      </c>
    </row>
    <row r="160" spans="1:15" x14ac:dyDescent="0.25">
      <c r="A160" s="1">
        <v>45289</v>
      </c>
      <c r="B160">
        <v>-0.55451085112659904</v>
      </c>
      <c r="C160">
        <v>-0.42927562440064898</v>
      </c>
      <c r="D160">
        <v>-0.54241126309599796</v>
      </c>
      <c r="E160">
        <v>-0.50550613544839695</v>
      </c>
      <c r="F160" s="3">
        <v>-0.21007831162575599</v>
      </c>
      <c r="G160" t="str">
        <f t="shared" si="16"/>
        <v>sell</v>
      </c>
      <c r="H160">
        <f t="shared" si="17"/>
        <v>1</v>
      </c>
      <c r="I160" t="str">
        <f t="shared" si="18"/>
        <v>sell</v>
      </c>
      <c r="J160">
        <f t="shared" si="14"/>
        <v>0</v>
      </c>
      <c r="K160">
        <f t="shared" si="15"/>
        <v>1</v>
      </c>
      <c r="L160">
        <f t="shared" si="19"/>
        <v>1</v>
      </c>
      <c r="M160">
        <f>IF(I160="sell",N159+(N159*E160/100),IF(I160="buy",0,M159))</f>
        <v>1386.5022171495827</v>
      </c>
      <c r="N160">
        <f>IF(I160="buy",M159,IF(I160="sell",0,IF(AND(I160="keep",N159&lt;&gt;0),N159+(N159*E159/100),N159)))</f>
        <v>0</v>
      </c>
      <c r="O160">
        <f>O159+(O159*E160/100)</f>
        <v>1439.7780774671912</v>
      </c>
    </row>
    <row r="161" spans="1:15" x14ac:dyDescent="0.25">
      <c r="A161" s="1">
        <v>45294</v>
      </c>
      <c r="B161">
        <v>-1.46289249178845</v>
      </c>
      <c r="C161">
        <v>-1.0605044780725399</v>
      </c>
      <c r="D161">
        <v>-0.74876270329862205</v>
      </c>
      <c r="E161">
        <v>-1.39342844017904</v>
      </c>
      <c r="F161" s="3">
        <v>-0.74443611283433797</v>
      </c>
      <c r="G161" t="str">
        <f t="shared" si="16"/>
        <v>sell</v>
      </c>
      <c r="H161">
        <f t="shared" si="17"/>
        <v>0</v>
      </c>
      <c r="I161" t="str">
        <f t="shared" si="18"/>
        <v>keep</v>
      </c>
      <c r="J161">
        <f t="shared" si="14"/>
        <v>0</v>
      </c>
      <c r="K161">
        <f t="shared" si="15"/>
        <v>0</v>
      </c>
      <c r="L161">
        <f t="shared" si="19"/>
        <v>0</v>
      </c>
      <c r="M161">
        <f>IF(I161="sell",N160+(N160*E161/100),IF(I161="buy",0,M160))</f>
        <v>1386.5022171495827</v>
      </c>
      <c r="N161">
        <f>IF(I161="buy",M160,IF(I161="sell",0,IF(AND(I161="keep",N160&lt;&gt;0),N160+(N160*E160/100),N160)))</f>
        <v>0</v>
      </c>
      <c r="O161">
        <f>O160+(O160*E161/100)</f>
        <v>1419.7158002603003</v>
      </c>
    </row>
    <row r="162" spans="1:15" x14ac:dyDescent="0.25">
      <c r="A162" s="1">
        <v>45295</v>
      </c>
      <c r="B162">
        <v>0.39819574528963098</v>
      </c>
      <c r="C162">
        <v>-0.52833503586289199</v>
      </c>
      <c r="D162">
        <v>-1.27001748865578</v>
      </c>
      <c r="E162">
        <v>0.75166313379615401</v>
      </c>
      <c r="F162" s="3">
        <v>7.32035628014365E-2</v>
      </c>
      <c r="G162" t="str">
        <f t="shared" si="16"/>
        <v>keep</v>
      </c>
      <c r="H162">
        <f t="shared" si="17"/>
        <v>0</v>
      </c>
      <c r="I162" t="str">
        <f t="shared" si="18"/>
        <v>keep</v>
      </c>
      <c r="J162">
        <f t="shared" si="14"/>
        <v>0</v>
      </c>
      <c r="K162">
        <f t="shared" si="15"/>
        <v>0</v>
      </c>
      <c r="L162">
        <f t="shared" si="19"/>
        <v>0</v>
      </c>
      <c r="M162">
        <f>IF(I162="sell",N161+(N161*E162/100),IF(I162="buy",0,M161))</f>
        <v>1386.5022171495827</v>
      </c>
      <c r="N162">
        <f>IF(I162="buy",M161,IF(I162="sell",0,IF(AND(I162="keep",N161&lt;&gt;0),N161+(N161*E161/100),N161)))</f>
        <v>0</v>
      </c>
      <c r="O162">
        <f>O161+(O161*E162/100)</f>
        <v>1430.3872805355361</v>
      </c>
    </row>
    <row r="163" spans="1:15" x14ac:dyDescent="0.25">
      <c r="A163" s="1">
        <v>45296</v>
      </c>
      <c r="B163">
        <v>4.8952447508908998E-3</v>
      </c>
      <c r="C163">
        <v>0.14722201663093201</v>
      </c>
      <c r="D163">
        <v>-0.40129143480337398</v>
      </c>
      <c r="E163">
        <v>-1.85019746385536</v>
      </c>
      <c r="F163" s="3">
        <v>8.4948784568788294E-2</v>
      </c>
      <c r="G163" t="str">
        <f t="shared" si="16"/>
        <v>keep</v>
      </c>
      <c r="H163">
        <f t="shared" si="17"/>
        <v>1</v>
      </c>
      <c r="I163" t="str">
        <f t="shared" si="18"/>
        <v>keep</v>
      </c>
      <c r="J163">
        <f t="shared" si="14"/>
        <v>0</v>
      </c>
      <c r="K163">
        <f t="shared" si="15"/>
        <v>0</v>
      </c>
      <c r="L163">
        <f t="shared" si="19"/>
        <v>0</v>
      </c>
      <c r="M163">
        <f>IF(I163="sell",N162+(N162*E163/100),IF(I163="buy",0,M162))</f>
        <v>1386.5022171495827</v>
      </c>
      <c r="N163">
        <f>IF(I163="buy",M162,IF(I163="sell",0,IF(AND(I163="keep",N162&lt;&gt;0),N162+(N162*E162/100),N162)))</f>
        <v>0</v>
      </c>
      <c r="O163">
        <f>O162+(O162*E163/100)</f>
        <v>1403.9222913477579</v>
      </c>
    </row>
    <row r="164" spans="1:15" x14ac:dyDescent="0.25">
      <c r="A164" s="1">
        <v>45299</v>
      </c>
      <c r="B164">
        <v>-0.77360206811874999</v>
      </c>
      <c r="C164">
        <v>2.1089726713094898</v>
      </c>
      <c r="D164">
        <v>2.4174751314044598</v>
      </c>
      <c r="E164">
        <v>9.1215536596722602E-2</v>
      </c>
      <c r="F164" s="3">
        <v>0.47763712849807699</v>
      </c>
      <c r="G164" t="str">
        <f t="shared" si="16"/>
        <v>buy</v>
      </c>
      <c r="H164">
        <f t="shared" si="17"/>
        <v>0</v>
      </c>
      <c r="I164" t="str">
        <f t="shared" si="18"/>
        <v>buy</v>
      </c>
      <c r="J164">
        <f t="shared" si="14"/>
        <v>1</v>
      </c>
      <c r="K164">
        <f t="shared" si="15"/>
        <v>0</v>
      </c>
      <c r="L164">
        <f t="shared" si="19"/>
        <v>0</v>
      </c>
      <c r="M164">
        <f>IF(I164="sell",N163+(N163*E164/100),IF(I164="buy",0,M163))</f>
        <v>0</v>
      </c>
      <c r="N164">
        <f>IF(I164="buy",M163,IF(I164="sell",0,IF(AND(I164="keep",N163&lt;&gt;0),N163+(N163*E163/100),N163)))</f>
        <v>1386.5022171495827</v>
      </c>
      <c r="O164">
        <f>O163+(O163*E164/100)</f>
        <v>1405.2028865992118</v>
      </c>
    </row>
    <row r="165" spans="1:15" x14ac:dyDescent="0.25">
      <c r="A165" s="1">
        <v>45300</v>
      </c>
      <c r="B165">
        <v>-9.8663364395457E-3</v>
      </c>
      <c r="C165">
        <v>0.17315498327043999</v>
      </c>
      <c r="D165">
        <v>-0.226345154945328</v>
      </c>
      <c r="E165">
        <v>-0.24301140048452699</v>
      </c>
      <c r="F165" s="3">
        <v>0.126633894770558</v>
      </c>
      <c r="G165" t="str">
        <f t="shared" si="16"/>
        <v>keep</v>
      </c>
      <c r="H165">
        <f t="shared" si="17"/>
        <v>1</v>
      </c>
      <c r="I165" t="str">
        <f t="shared" si="18"/>
        <v>keep</v>
      </c>
      <c r="J165">
        <f t="shared" si="14"/>
        <v>0</v>
      </c>
      <c r="K165">
        <f t="shared" si="15"/>
        <v>0</v>
      </c>
      <c r="L165">
        <f t="shared" si="19"/>
        <v>0</v>
      </c>
      <c r="M165">
        <f>IF(I165="sell",N164+(N164*E165/100),IF(I165="buy",0,M164))</f>
        <v>0</v>
      </c>
      <c r="N165">
        <f>IF(I165="buy",M164,IF(I165="sell",0,IF(AND(I165="keep",N164&lt;&gt;0),N164+(N164*E164/100),N164)))</f>
        <v>1387.7669225868813</v>
      </c>
      <c r="O165">
        <f>O164+(O164*E165/100)</f>
        <v>1401.788083384838</v>
      </c>
    </row>
    <row r="166" spans="1:15" x14ac:dyDescent="0.25">
      <c r="A166" s="1">
        <v>45301</v>
      </c>
      <c r="B166">
        <v>-0.231942024553943</v>
      </c>
      <c r="C166">
        <v>0.68561439354604103</v>
      </c>
      <c r="D166">
        <v>0.56715491579741795</v>
      </c>
      <c r="E166">
        <v>0.73082272197937304</v>
      </c>
      <c r="F166" s="3">
        <v>0.234047832624007</v>
      </c>
      <c r="G166" t="str">
        <f t="shared" si="16"/>
        <v>buy</v>
      </c>
      <c r="H166">
        <f t="shared" si="17"/>
        <v>0</v>
      </c>
      <c r="I166" t="str">
        <f t="shared" si="18"/>
        <v>keep</v>
      </c>
      <c r="J166">
        <f t="shared" si="14"/>
        <v>0</v>
      </c>
      <c r="K166">
        <f t="shared" si="15"/>
        <v>0</v>
      </c>
      <c r="L166">
        <f t="shared" si="19"/>
        <v>0</v>
      </c>
      <c r="M166">
        <f>IF(I166="sell",N165+(N165*E166/100),IF(I166="buy",0,M165))</f>
        <v>0</v>
      </c>
      <c r="N166">
        <f>IF(I166="buy",M165,IF(I166="sell",0,IF(AND(I166="keep",N165&lt;&gt;0),N165+(N165*E165/100),N165)))</f>
        <v>1384.3944907528419</v>
      </c>
      <c r="O166">
        <f>O165+(O165*E166/100)</f>
        <v>1412.0326692122137</v>
      </c>
    </row>
    <row r="167" spans="1:15" x14ac:dyDescent="0.25">
      <c r="A167" s="1">
        <v>45302</v>
      </c>
      <c r="B167">
        <v>-0.36602376823824301</v>
      </c>
      <c r="C167">
        <v>0.16584008312590101</v>
      </c>
      <c r="D167">
        <v>-0.32226198712425003</v>
      </c>
      <c r="E167">
        <v>-0.84643844970177995</v>
      </c>
      <c r="F167" s="3">
        <v>-8.1683094073071394E-2</v>
      </c>
      <c r="G167" t="str">
        <f t="shared" si="16"/>
        <v>keep</v>
      </c>
      <c r="H167">
        <f t="shared" si="17"/>
        <v>0</v>
      </c>
      <c r="I167" t="str">
        <f t="shared" si="18"/>
        <v>keep</v>
      </c>
      <c r="J167">
        <f t="shared" si="14"/>
        <v>0</v>
      </c>
      <c r="K167">
        <f t="shared" si="15"/>
        <v>0</v>
      </c>
      <c r="L167">
        <f t="shared" si="19"/>
        <v>0</v>
      </c>
      <c r="M167">
        <f>IF(I167="sell",N166+(N166*E167/100),IF(I167="buy",0,M166))</f>
        <v>0</v>
      </c>
      <c r="N167">
        <f>IF(I167="buy",M166,IF(I167="sell",0,IF(AND(I167="keep",N166&lt;&gt;0),N166+(N166*E166/100),N166)))</f>
        <v>1394.5119602530942</v>
      </c>
      <c r="O167">
        <f>O166+(O166*E167/100)</f>
        <v>1400.0806817776511</v>
      </c>
    </row>
    <row r="168" spans="1:15" x14ac:dyDescent="0.25">
      <c r="A168" s="1">
        <v>45303</v>
      </c>
      <c r="B168">
        <v>1.60849434336256</v>
      </c>
      <c r="C168">
        <v>7.1455932624742105E-2</v>
      </c>
      <c r="D168">
        <v>0.17779845624164001</v>
      </c>
      <c r="E168">
        <v>1.34146511038659</v>
      </c>
      <c r="F168" s="3">
        <v>1.05646055147703</v>
      </c>
      <c r="G168" t="str">
        <f t="shared" si="16"/>
        <v>buy</v>
      </c>
      <c r="H168">
        <f t="shared" si="17"/>
        <v>0</v>
      </c>
      <c r="I168" t="str">
        <f t="shared" si="18"/>
        <v>keep</v>
      </c>
      <c r="J168">
        <f t="shared" si="14"/>
        <v>0</v>
      </c>
      <c r="K168">
        <f t="shared" si="15"/>
        <v>0</v>
      </c>
      <c r="L168">
        <f t="shared" si="19"/>
        <v>0</v>
      </c>
      <c r="M168">
        <f>IF(I168="sell",N167+(N167*E168/100),IF(I168="buy",0,M167))</f>
        <v>0</v>
      </c>
      <c r="N168">
        <f>IF(I168="buy",M167,IF(I168="sell",0,IF(AND(I168="keep",N167&lt;&gt;0),N167+(N167*E167/100),N167)))</f>
        <v>1382.7082748358221</v>
      </c>
      <c r="O168">
        <f>O167+(O167*E168/100)</f>
        <v>1418.8622756409609</v>
      </c>
    </row>
    <row r="169" spans="1:15" x14ac:dyDescent="0.25">
      <c r="A169" s="1">
        <v>45308</v>
      </c>
      <c r="B169">
        <v>-1.15498639753516</v>
      </c>
      <c r="C169">
        <v>-0.56106744970944</v>
      </c>
      <c r="D169">
        <v>-0.51733859339532196</v>
      </c>
      <c r="E169">
        <v>-1.7947928708573999</v>
      </c>
      <c r="F169" s="3">
        <v>-0.44723300388249299</v>
      </c>
      <c r="G169" t="str">
        <f t="shared" si="16"/>
        <v>sell</v>
      </c>
      <c r="H169">
        <f t="shared" si="17"/>
        <v>1</v>
      </c>
      <c r="I169" t="str">
        <f t="shared" si="18"/>
        <v>sell</v>
      </c>
      <c r="J169">
        <f t="shared" si="14"/>
        <v>0</v>
      </c>
      <c r="K169">
        <f t="shared" si="15"/>
        <v>1</v>
      </c>
      <c r="L169">
        <f t="shared" si="19"/>
        <v>1</v>
      </c>
      <c r="M169">
        <f>IF(I169="sell",N168+(N168*E169/100),IF(I169="buy",0,M168))</f>
        <v>1357.8915252943134</v>
      </c>
      <c r="N169">
        <f>IF(I169="buy",M168,IF(I169="sell",0,IF(AND(I169="keep",N168&lt;&gt;0),N168+(N168*E168/100),N168)))</f>
        <v>0</v>
      </c>
      <c r="O169">
        <f>O168+(O168*E169/100)</f>
        <v>1393.3966366704719</v>
      </c>
    </row>
    <row r="170" spans="1:15" x14ac:dyDescent="0.25">
      <c r="A170" s="1">
        <v>45309</v>
      </c>
      <c r="B170">
        <v>0.79896135998496198</v>
      </c>
      <c r="C170">
        <v>1.46991909767504</v>
      </c>
      <c r="D170">
        <v>3.2570608535671099</v>
      </c>
      <c r="E170">
        <v>-1.4620843246119199</v>
      </c>
      <c r="F170" s="3">
        <v>1.4421885383198401</v>
      </c>
      <c r="G170" t="str">
        <f t="shared" si="16"/>
        <v>buy</v>
      </c>
      <c r="H170">
        <f t="shared" si="17"/>
        <v>1</v>
      </c>
      <c r="I170" t="str">
        <f t="shared" si="18"/>
        <v>buy</v>
      </c>
      <c r="J170">
        <f t="shared" si="14"/>
        <v>1</v>
      </c>
      <c r="K170">
        <f t="shared" si="15"/>
        <v>0</v>
      </c>
      <c r="L170">
        <f t="shared" si="19"/>
        <v>1</v>
      </c>
      <c r="M170">
        <f>IF(I170="sell",N169+(N169*E170/100),IF(I170="buy",0,M169))</f>
        <v>0</v>
      </c>
      <c r="N170">
        <f>IF(I170="buy",M169,IF(I170="sell",0,IF(AND(I170="keep",N169&lt;&gt;0),N169+(N169*E169/100),N169)))</f>
        <v>1357.8915252943134</v>
      </c>
      <c r="O170">
        <f>O169+(O169*E170/100)</f>
        <v>1373.0240028660432</v>
      </c>
    </row>
    <row r="171" spans="1:15" x14ac:dyDescent="0.25">
      <c r="A171" s="1">
        <v>45310</v>
      </c>
      <c r="B171">
        <v>0.39136156294510199</v>
      </c>
      <c r="C171">
        <v>1.95327577029928</v>
      </c>
      <c r="D171">
        <v>1.55331350002339</v>
      </c>
      <c r="E171">
        <v>6.1823303245067601E-2</v>
      </c>
      <c r="F171" s="3">
        <v>0.71999986038573305</v>
      </c>
      <c r="G171" t="str">
        <f t="shared" si="16"/>
        <v>buy</v>
      </c>
      <c r="H171">
        <f t="shared" si="17"/>
        <v>0</v>
      </c>
      <c r="I171" t="str">
        <f t="shared" si="18"/>
        <v>keep</v>
      </c>
      <c r="J171">
        <f t="shared" si="14"/>
        <v>0</v>
      </c>
      <c r="K171">
        <f t="shared" si="15"/>
        <v>0</v>
      </c>
      <c r="L171">
        <f t="shared" si="19"/>
        <v>0</v>
      </c>
      <c r="M171">
        <f>IF(I171="sell",N170+(N170*E171/100),IF(I171="buy",0,M170))</f>
        <v>0</v>
      </c>
      <c r="N171">
        <f>IF(I171="buy",M170,IF(I171="sell",0,IF(AND(I171="keep",N170&lt;&gt;0),N170+(N170*E170/100),N170)))</f>
        <v>1338.0380061577516</v>
      </c>
      <c r="O171">
        <f>O170+(O170*E171/100)</f>
        <v>1373.8728516589626</v>
      </c>
    </row>
    <row r="172" spans="1:15" x14ac:dyDescent="0.25">
      <c r="A172" s="1">
        <v>45313</v>
      </c>
      <c r="B172">
        <v>-0.33061688486922802</v>
      </c>
      <c r="C172">
        <v>9.4610485012136494E-2</v>
      </c>
      <c r="D172">
        <v>1.2163186381901301</v>
      </c>
      <c r="E172">
        <v>-0.123557460275769</v>
      </c>
      <c r="F172" s="3">
        <v>0.35005279512120402</v>
      </c>
      <c r="G172" t="str">
        <f t="shared" si="16"/>
        <v>buy</v>
      </c>
      <c r="H172">
        <f t="shared" si="17"/>
        <v>0</v>
      </c>
      <c r="I172" t="str">
        <f t="shared" si="18"/>
        <v>keep</v>
      </c>
      <c r="J172">
        <f t="shared" si="14"/>
        <v>0</v>
      </c>
      <c r="K172">
        <f t="shared" si="15"/>
        <v>0</v>
      </c>
      <c r="L172">
        <f t="shared" si="19"/>
        <v>0</v>
      </c>
      <c r="M172">
        <f>IF(I172="sell",N171+(N171*E172/100),IF(I172="buy",0,M171))</f>
        <v>0</v>
      </c>
      <c r="N172">
        <f>IF(I172="buy",M171,IF(I172="sell",0,IF(AND(I172="keep",N171&lt;&gt;0),N171+(N171*E171/100),N171)))</f>
        <v>1338.8652254518329</v>
      </c>
      <c r="O172">
        <f>O171+(O171*E172/100)</f>
        <v>1372.1753292560345</v>
      </c>
    </row>
    <row r="173" spans="1:15" x14ac:dyDescent="0.25">
      <c r="A173" s="1">
        <v>45314</v>
      </c>
      <c r="B173">
        <v>0.193083584982223</v>
      </c>
      <c r="C173">
        <v>0.42601532374899598</v>
      </c>
      <c r="D173">
        <v>0.66532172376716403</v>
      </c>
      <c r="E173">
        <v>-0.15466980900225</v>
      </c>
      <c r="F173" s="3">
        <v>0.42190858404833897</v>
      </c>
      <c r="G173" t="str">
        <f t="shared" si="16"/>
        <v>buy</v>
      </c>
      <c r="H173">
        <f t="shared" si="17"/>
        <v>1</v>
      </c>
      <c r="I173" t="str">
        <f t="shared" si="18"/>
        <v>keep</v>
      </c>
      <c r="J173">
        <f t="shared" si="14"/>
        <v>0</v>
      </c>
      <c r="K173">
        <f t="shared" si="15"/>
        <v>0</v>
      </c>
      <c r="L173">
        <f t="shared" si="19"/>
        <v>0</v>
      </c>
      <c r="M173">
        <f>IF(I173="sell",N172+(N172*E173/100),IF(I173="buy",0,M172))</f>
        <v>0</v>
      </c>
      <c r="N173">
        <f>IF(I173="buy",M172,IF(I173="sell",0,IF(AND(I173="keep",N172&lt;&gt;0),N172+(N172*E172/100),N172)))</f>
        <v>1337.2109575827492</v>
      </c>
      <c r="O173">
        <f>O172+(O172*E173/100)</f>
        <v>1370.0529882950982</v>
      </c>
    </row>
    <row r="174" spans="1:15" x14ac:dyDescent="0.25">
      <c r="A174" s="1">
        <v>45315</v>
      </c>
      <c r="B174">
        <v>-0.48425789367330102</v>
      </c>
      <c r="C174">
        <v>0.54636113117381102</v>
      </c>
      <c r="D174">
        <v>-0.34839202013630099</v>
      </c>
      <c r="E174">
        <v>3.2837725523290699</v>
      </c>
      <c r="F174" s="3">
        <v>-0.13713422877685599</v>
      </c>
      <c r="G174" t="str">
        <f t="shared" si="16"/>
        <v>keep</v>
      </c>
      <c r="H174">
        <f t="shared" si="17"/>
        <v>0</v>
      </c>
      <c r="I174" t="str">
        <f t="shared" si="18"/>
        <v>keep</v>
      </c>
      <c r="J174">
        <f t="shared" si="14"/>
        <v>0</v>
      </c>
      <c r="K174">
        <f t="shared" si="15"/>
        <v>0</v>
      </c>
      <c r="L174">
        <f t="shared" si="19"/>
        <v>0</v>
      </c>
      <c r="M174">
        <f>IF(I174="sell",N173+(N173*E174/100),IF(I174="buy",0,M173))</f>
        <v>0</v>
      </c>
      <c r="N174">
        <f>IF(I174="buy",M173,IF(I174="sell",0,IF(AND(I174="keep",N173&lt;&gt;0),N173+(N173*E173/100),N173)))</f>
        <v>1335.1426959486987</v>
      </c>
      <c r="O174">
        <f>O173+(O173*E174/100)</f>
        <v>1415.0424122770969</v>
      </c>
    </row>
    <row r="175" spans="1:15" x14ac:dyDescent="0.25">
      <c r="A175" s="1">
        <v>45316</v>
      </c>
      <c r="B175">
        <v>0.14896469356133701</v>
      </c>
      <c r="C175">
        <v>0.101086628238045</v>
      </c>
      <c r="D175">
        <v>-0.16966148004933199</v>
      </c>
      <c r="E175">
        <v>0.89982511946124999</v>
      </c>
      <c r="F175" s="3">
        <v>0.21656962181200401</v>
      </c>
      <c r="G175" t="str">
        <f t="shared" si="16"/>
        <v>buy</v>
      </c>
      <c r="H175">
        <f t="shared" si="17"/>
        <v>0</v>
      </c>
      <c r="I175" t="str">
        <f t="shared" si="18"/>
        <v>keep</v>
      </c>
      <c r="J175">
        <f t="shared" si="14"/>
        <v>0</v>
      </c>
      <c r="K175">
        <f t="shared" si="15"/>
        <v>0</v>
      </c>
      <c r="L175">
        <f t="shared" si="19"/>
        <v>0</v>
      </c>
      <c r="M175">
        <f>IF(I175="sell",N174+(N174*E175/100),IF(I175="buy",0,M174))</f>
        <v>0</v>
      </c>
      <c r="N175">
        <f>IF(I175="buy",M174,IF(I175="sell",0,IF(AND(I175="keep",N174&lt;&gt;0),N174+(N174*E174/100),N174)))</f>
        <v>1378.9857453326883</v>
      </c>
      <c r="O175">
        <f>O174+(O174*E175/100)</f>
        <v>1427.7753193537967</v>
      </c>
    </row>
    <row r="176" spans="1:15" x14ac:dyDescent="0.25">
      <c r="A176" s="1">
        <v>45317</v>
      </c>
      <c r="B176">
        <v>-4.9568934864074E-3</v>
      </c>
      <c r="C176">
        <v>-0.54792785441901604</v>
      </c>
      <c r="D176">
        <v>-0.90127187893709304</v>
      </c>
      <c r="E176">
        <v>-0.74316603984136897</v>
      </c>
      <c r="F176" s="3">
        <v>-3.43038146645787E-2</v>
      </c>
      <c r="G176" t="str">
        <f t="shared" si="16"/>
        <v>keep</v>
      </c>
      <c r="H176">
        <f t="shared" si="17"/>
        <v>0</v>
      </c>
      <c r="I176" t="str">
        <f t="shared" si="18"/>
        <v>keep</v>
      </c>
      <c r="J176">
        <f t="shared" si="14"/>
        <v>0</v>
      </c>
      <c r="K176">
        <f t="shared" si="15"/>
        <v>0</v>
      </c>
      <c r="L176">
        <f t="shared" si="19"/>
        <v>0</v>
      </c>
      <c r="M176">
        <f>IF(I176="sell",N175+(N175*E176/100),IF(I176="buy",0,M175))</f>
        <v>0</v>
      </c>
      <c r="N176">
        <f>IF(I176="buy",M175,IF(I176="sell",0,IF(AND(I176="keep",N175&lt;&gt;0),N175+(N175*E175/100),N175)))</f>
        <v>1391.3942054629817</v>
      </c>
      <c r="O176">
        <f>O175+(O175*E176/100)</f>
        <v>1417.1645780551225</v>
      </c>
    </row>
    <row r="177" spans="1:15" x14ac:dyDescent="0.25">
      <c r="A177" s="1">
        <v>45320</v>
      </c>
      <c r="B177">
        <v>0.41649653611575099</v>
      </c>
      <c r="C177">
        <v>1.0060252992385199</v>
      </c>
      <c r="D177">
        <v>-0.35860033641095201</v>
      </c>
      <c r="E177">
        <v>2.9945752758964099E-2</v>
      </c>
      <c r="F177" s="3">
        <v>0.25802232496307198</v>
      </c>
      <c r="G177" t="str">
        <f t="shared" si="16"/>
        <v>buy</v>
      </c>
      <c r="H177">
        <f t="shared" si="17"/>
        <v>1</v>
      </c>
      <c r="I177" t="str">
        <f t="shared" si="18"/>
        <v>keep</v>
      </c>
      <c r="J177">
        <f t="shared" si="14"/>
        <v>0</v>
      </c>
      <c r="K177">
        <f t="shared" si="15"/>
        <v>0</v>
      </c>
      <c r="L177">
        <f t="shared" si="19"/>
        <v>0</v>
      </c>
      <c r="M177">
        <f>IF(I177="sell",N176+(N176*E177/100),IF(I177="buy",0,M176))</f>
        <v>0</v>
      </c>
      <c r="N177">
        <f>IF(I177="buy",M176,IF(I177="sell",0,IF(AND(I177="keep",N176&lt;&gt;0),N176+(N176*E176/100),N176)))</f>
        <v>1381.0538362476602</v>
      </c>
      <c r="O177">
        <f>O176+(O176*E177/100)</f>
        <v>1417.5889586558546</v>
      </c>
    </row>
    <row r="178" spans="1:15" x14ac:dyDescent="0.25">
      <c r="A178" s="1">
        <v>45321</v>
      </c>
      <c r="B178">
        <v>0.31108280564986401</v>
      </c>
      <c r="C178">
        <v>-0.67945420782326005</v>
      </c>
      <c r="D178">
        <v>-1.9245704072435701</v>
      </c>
      <c r="E178">
        <v>0.179639264485564</v>
      </c>
      <c r="F178" s="3">
        <v>-0.15964120572972301</v>
      </c>
      <c r="G178" t="str">
        <f t="shared" si="16"/>
        <v>sell</v>
      </c>
      <c r="H178">
        <f t="shared" si="17"/>
        <v>0</v>
      </c>
      <c r="I178" t="str">
        <f t="shared" si="18"/>
        <v>sell</v>
      </c>
      <c r="J178">
        <f t="shared" si="14"/>
        <v>0</v>
      </c>
      <c r="K178">
        <f t="shared" si="15"/>
        <v>1</v>
      </c>
      <c r="L178">
        <f t="shared" si="19"/>
        <v>0</v>
      </c>
      <c r="M178">
        <f>IF(I178="sell",N177+(N177*E178/100),IF(I178="buy",0,M177))</f>
        <v>1383.5347512012452</v>
      </c>
      <c r="N178">
        <f>IF(I178="buy",M177,IF(I178="sell",0,IF(AND(I178="keep",N177&lt;&gt;0),N177+(N177*E177/100),N177)))</f>
        <v>0</v>
      </c>
      <c r="O178">
        <f>O177+(O177*E178/100)</f>
        <v>1420.1355050346126</v>
      </c>
    </row>
    <row r="179" spans="1:15" x14ac:dyDescent="0.25">
      <c r="A179" s="1">
        <v>45322</v>
      </c>
      <c r="B179">
        <v>0.83189280550086597</v>
      </c>
      <c r="C179">
        <v>-1.94241756551911</v>
      </c>
      <c r="D179">
        <v>-1.9357644356855901</v>
      </c>
      <c r="E179">
        <v>8.9667821982297696E-2</v>
      </c>
      <c r="F179" s="3">
        <v>0.10614343274110501</v>
      </c>
      <c r="G179" t="str">
        <f t="shared" si="16"/>
        <v>keep</v>
      </c>
      <c r="H179">
        <f t="shared" si="17"/>
        <v>0</v>
      </c>
      <c r="I179" t="str">
        <f t="shared" si="18"/>
        <v>keep</v>
      </c>
      <c r="J179">
        <f t="shared" si="14"/>
        <v>0</v>
      </c>
      <c r="K179">
        <f t="shared" si="15"/>
        <v>0</v>
      </c>
      <c r="L179">
        <f t="shared" si="19"/>
        <v>0</v>
      </c>
      <c r="M179">
        <f>IF(I179="sell",N178+(N178*E179/100),IF(I179="buy",0,M178))</f>
        <v>1383.5347512012452</v>
      </c>
      <c r="N179">
        <f>IF(I179="buy",M178,IF(I179="sell",0,IF(AND(I179="keep",N178&lt;&gt;0),N178+(N178*E178/100),N178)))</f>
        <v>0</v>
      </c>
      <c r="O179">
        <f>O178+(O178*E179/100)</f>
        <v>1421.4089096111745</v>
      </c>
    </row>
    <row r="180" spans="1:15" x14ac:dyDescent="0.25">
      <c r="A180" s="1">
        <v>45323</v>
      </c>
      <c r="B180">
        <v>0.224570292694625</v>
      </c>
      <c r="C180">
        <v>1.21064243884987</v>
      </c>
      <c r="D180">
        <v>1.33406260407289</v>
      </c>
      <c r="E180">
        <v>-2.4485029066327901</v>
      </c>
      <c r="F180" s="3">
        <v>0.62289993443427605</v>
      </c>
      <c r="G180" t="str">
        <f t="shared" si="16"/>
        <v>buy</v>
      </c>
      <c r="H180">
        <f t="shared" si="17"/>
        <v>1</v>
      </c>
      <c r="I180" t="str">
        <f t="shared" si="18"/>
        <v>buy</v>
      </c>
      <c r="J180">
        <f t="shared" si="14"/>
        <v>1</v>
      </c>
      <c r="K180">
        <f t="shared" si="15"/>
        <v>0</v>
      </c>
      <c r="L180">
        <f t="shared" si="19"/>
        <v>1</v>
      </c>
      <c r="M180">
        <f>IF(I180="sell",N179+(N179*E180/100),IF(I180="buy",0,M179))</f>
        <v>0</v>
      </c>
      <c r="N180">
        <f>IF(I180="buy",M179,IF(I180="sell",0,IF(AND(I180="keep",N179&lt;&gt;0),N179+(N179*E179/100),N179)))</f>
        <v>1383.5347512012452</v>
      </c>
      <c r="O180">
        <f>O179+(O179*E180/100)</f>
        <v>1386.6056711442075</v>
      </c>
    </row>
    <row r="181" spans="1:15" x14ac:dyDescent="0.25">
      <c r="A181" s="1">
        <v>45324</v>
      </c>
      <c r="B181">
        <v>-0.82318677126461604</v>
      </c>
      <c r="C181">
        <v>1.71821561237823</v>
      </c>
      <c r="D181">
        <v>-0.54051901959594195</v>
      </c>
      <c r="E181">
        <v>0.48975463374969402</v>
      </c>
      <c r="F181" s="3">
        <v>-0.32243071862168299</v>
      </c>
      <c r="G181" t="str">
        <f t="shared" si="16"/>
        <v>sell</v>
      </c>
      <c r="H181">
        <f t="shared" si="17"/>
        <v>1</v>
      </c>
      <c r="I181" t="str">
        <f t="shared" si="18"/>
        <v>sell</v>
      </c>
      <c r="J181">
        <f t="shared" si="14"/>
        <v>0</v>
      </c>
      <c r="K181">
        <f t="shared" si="15"/>
        <v>1</v>
      </c>
      <c r="L181">
        <f t="shared" si="19"/>
        <v>1</v>
      </c>
      <c r="M181">
        <f>IF(I181="sell",N180+(N180*E181/100),IF(I181="buy",0,M180))</f>
        <v>1390.3106767547906</v>
      </c>
      <c r="N181">
        <f>IF(I181="buy",M180,IF(I181="sell",0,IF(AND(I181="keep",N180&lt;&gt;0),N180+(N180*E180/100),N180)))</f>
        <v>0</v>
      </c>
      <c r="O181">
        <f>O180+(O180*E181/100)</f>
        <v>1393.3966366704722</v>
      </c>
    </row>
    <row r="182" spans="1:15" x14ac:dyDescent="0.25">
      <c r="A182" s="1">
        <v>45327</v>
      </c>
      <c r="B182">
        <v>-0.510781618720346</v>
      </c>
      <c r="C182">
        <v>-0.16829257978288001</v>
      </c>
      <c r="D182">
        <v>0.98466631001461402</v>
      </c>
      <c r="E182">
        <v>-0.48736772771978898</v>
      </c>
      <c r="F182" s="3">
        <v>0.22067470901773301</v>
      </c>
      <c r="G182" t="str">
        <f t="shared" si="16"/>
        <v>buy</v>
      </c>
      <c r="H182">
        <f t="shared" si="17"/>
        <v>1</v>
      </c>
      <c r="I182" t="str">
        <f t="shared" si="18"/>
        <v>buy</v>
      </c>
      <c r="J182">
        <f t="shared" si="14"/>
        <v>1</v>
      </c>
      <c r="K182">
        <f t="shared" si="15"/>
        <v>0</v>
      </c>
      <c r="L182">
        <f t="shared" si="19"/>
        <v>1</v>
      </c>
      <c r="M182">
        <f>IF(I182="sell",N181+(N181*E182/100),IF(I182="buy",0,M181))</f>
        <v>0</v>
      </c>
      <c r="N182">
        <f>IF(I182="buy",M181,IF(I182="sell",0,IF(AND(I182="keep",N181&lt;&gt;0),N181+(N181*E181/100),N181)))</f>
        <v>1390.3106767547906</v>
      </c>
      <c r="O182">
        <f>O181+(O181*E182/100)</f>
        <v>1386.6056711442072</v>
      </c>
    </row>
    <row r="183" spans="1:15" x14ac:dyDescent="0.25">
      <c r="A183" s="1">
        <v>45328</v>
      </c>
      <c r="B183">
        <v>0.43442015304557802</v>
      </c>
      <c r="C183">
        <v>-0.22885655114353001</v>
      </c>
      <c r="D183">
        <v>0.86317096718808695</v>
      </c>
      <c r="E183">
        <v>0.48975463374969402</v>
      </c>
      <c r="F183" s="3">
        <v>0.59426969141003805</v>
      </c>
      <c r="G183" t="str">
        <f t="shared" si="16"/>
        <v>buy</v>
      </c>
      <c r="H183">
        <f t="shared" si="17"/>
        <v>1</v>
      </c>
      <c r="I183" t="str">
        <f t="shared" si="18"/>
        <v>keep</v>
      </c>
      <c r="J183">
        <f t="shared" si="14"/>
        <v>0</v>
      </c>
      <c r="K183">
        <f t="shared" si="15"/>
        <v>0</v>
      </c>
      <c r="L183">
        <f t="shared" si="19"/>
        <v>0</v>
      </c>
      <c r="M183">
        <f>IF(I183="sell",N182+(N182*E183/100),IF(I183="buy",0,M182))</f>
        <v>0</v>
      </c>
      <c r="N183">
        <f>IF(I183="buy",M182,IF(I183="sell",0,IF(AND(I183="keep",N182&lt;&gt;0),N182+(N182*E182/100),N182)))</f>
        <v>1383.5347512012452</v>
      </c>
      <c r="O183">
        <f>O182+(O182*E183/100)</f>
        <v>1393.3966366704719</v>
      </c>
    </row>
    <row r="184" spans="1:15" x14ac:dyDescent="0.25">
      <c r="A184" s="1">
        <v>45329</v>
      </c>
      <c r="B184">
        <v>3.4404088074468903E-2</v>
      </c>
      <c r="C184">
        <v>1.03762954809021</v>
      </c>
      <c r="D184">
        <v>5.8112763986106701E-2</v>
      </c>
      <c r="E184">
        <v>1.8885137993649199</v>
      </c>
      <c r="F184" s="3">
        <v>0.19438556148583699</v>
      </c>
      <c r="G184" t="str">
        <f t="shared" si="16"/>
        <v>buy</v>
      </c>
      <c r="H184">
        <f t="shared" si="17"/>
        <v>1</v>
      </c>
      <c r="I184" t="str">
        <f t="shared" si="18"/>
        <v>keep</v>
      </c>
      <c r="J184">
        <f t="shared" si="14"/>
        <v>0</v>
      </c>
      <c r="K184">
        <f t="shared" si="15"/>
        <v>0</v>
      </c>
      <c r="L184">
        <f t="shared" si="19"/>
        <v>0</v>
      </c>
      <c r="M184">
        <f>IF(I184="sell",N183+(N183*E184/100),IF(I184="buy",0,M183))</f>
        <v>0</v>
      </c>
      <c r="N184">
        <f>IF(I184="buy",M183,IF(I184="sell",0,IF(AND(I184="keep",N183&lt;&gt;0),N183+(N183*E183/100),N183)))</f>
        <v>1390.3106767547906</v>
      </c>
      <c r="O184">
        <f>O183+(O183*E184/100)</f>
        <v>1419.7111244338805</v>
      </c>
    </row>
    <row r="185" spans="1:15" x14ac:dyDescent="0.25">
      <c r="A185" s="1">
        <v>45330</v>
      </c>
      <c r="B185">
        <v>-0.14740566391389001</v>
      </c>
      <c r="C185">
        <v>0.15826245055878799</v>
      </c>
      <c r="D185">
        <v>-0.575455509988132</v>
      </c>
      <c r="E185">
        <v>4.7533647669664099</v>
      </c>
      <c r="F185" s="3">
        <v>-4.2090729137948197E-3</v>
      </c>
      <c r="G185" t="str">
        <f t="shared" si="16"/>
        <v>keep</v>
      </c>
      <c r="H185">
        <f t="shared" si="17"/>
        <v>0</v>
      </c>
      <c r="I185" t="str">
        <f t="shared" si="18"/>
        <v>keep</v>
      </c>
      <c r="J185">
        <f t="shared" si="14"/>
        <v>0</v>
      </c>
      <c r="K185">
        <f t="shared" si="15"/>
        <v>0</v>
      </c>
      <c r="L185">
        <f t="shared" si="19"/>
        <v>0</v>
      </c>
      <c r="M185">
        <f>IF(I185="sell",N184+(N184*E185/100),IF(I185="buy",0,M184))</f>
        <v>0</v>
      </c>
      <c r="N185">
        <f>IF(I185="buy",M184,IF(I185="sell",0,IF(AND(I185="keep",N184&lt;&gt;0),N184+(N184*E184/100),N184)))</f>
        <v>1416.5668857393487</v>
      </c>
      <c r="O185">
        <f>O184+(O184*E185/100)</f>
        <v>1487.1951728154231</v>
      </c>
    </row>
    <row r="186" spans="1:15" x14ac:dyDescent="0.25">
      <c r="A186" s="1">
        <v>45331</v>
      </c>
      <c r="B186">
        <v>-0.43794422584342202</v>
      </c>
      <c r="C186">
        <v>1.0079206078693299</v>
      </c>
      <c r="D186">
        <v>0.40938872888287497</v>
      </c>
      <c r="E186">
        <v>0.68492593986491102</v>
      </c>
      <c r="F186" s="3">
        <v>0.14599098120319401</v>
      </c>
      <c r="G186" t="str">
        <f t="shared" si="16"/>
        <v>keep</v>
      </c>
      <c r="H186">
        <f t="shared" si="17"/>
        <v>1</v>
      </c>
      <c r="I186" t="str">
        <f t="shared" si="18"/>
        <v>keep</v>
      </c>
      <c r="J186">
        <f t="shared" si="14"/>
        <v>0</v>
      </c>
      <c r="K186">
        <f t="shared" si="15"/>
        <v>0</v>
      </c>
      <c r="L186">
        <f t="shared" si="19"/>
        <v>0</v>
      </c>
      <c r="M186">
        <f>IF(I186="sell",N185+(N185*E186/100),IF(I186="buy",0,M185))</f>
        <v>0</v>
      </c>
      <c r="N186">
        <f>IF(I186="buy",M185,IF(I186="sell",0,IF(AND(I186="keep",N185&lt;&gt;0),N185+(N185*E185/100),N185)))</f>
        <v>1483.9014769865962</v>
      </c>
      <c r="O186">
        <f>O185+(O185*E186/100)</f>
        <v>1497.3813583304548</v>
      </c>
    </row>
    <row r="187" spans="1:15" x14ac:dyDescent="0.25">
      <c r="A187" s="1">
        <v>45334</v>
      </c>
      <c r="B187">
        <v>-0.25206828118271501</v>
      </c>
      <c r="C187">
        <v>-0.44398273564781798</v>
      </c>
      <c r="D187">
        <v>-0.90017945102486197</v>
      </c>
      <c r="E187">
        <v>2.5793647311720802</v>
      </c>
      <c r="F187" s="3">
        <v>-0.127159189037202</v>
      </c>
      <c r="G187" t="str">
        <f t="shared" si="16"/>
        <v>keep</v>
      </c>
      <c r="H187">
        <f t="shared" si="17"/>
        <v>1</v>
      </c>
      <c r="I187" t="str">
        <f t="shared" si="18"/>
        <v>keep</v>
      </c>
      <c r="J187">
        <f t="shared" si="14"/>
        <v>0</v>
      </c>
      <c r="K187">
        <f t="shared" si="15"/>
        <v>0</v>
      </c>
      <c r="L187">
        <f t="shared" si="19"/>
        <v>0</v>
      </c>
      <c r="M187">
        <f>IF(I187="sell",N186+(N186*E187/100),IF(I187="buy",0,M186))</f>
        <v>0</v>
      </c>
      <c r="N187">
        <f>IF(I187="buy",M186,IF(I187="sell",0,IF(AND(I187="keep",N186&lt;&gt;0),N186+(N186*E186/100),N186)))</f>
        <v>1494.0651031245159</v>
      </c>
      <c r="O187">
        <f>O186+(O186*E187/100)</f>
        <v>1536.0042849783758</v>
      </c>
    </row>
    <row r="188" spans="1:15" x14ac:dyDescent="0.25">
      <c r="A188" s="1">
        <v>45335</v>
      </c>
      <c r="B188">
        <v>-1.2535887112236801</v>
      </c>
      <c r="C188">
        <v>-1.57828998543237</v>
      </c>
      <c r="D188">
        <v>-1.1274537082207601</v>
      </c>
      <c r="E188">
        <v>-4.1724210176479204</v>
      </c>
      <c r="F188" s="3">
        <v>-0.70406961037421401</v>
      </c>
      <c r="G188" t="str">
        <f t="shared" si="16"/>
        <v>sell</v>
      </c>
      <c r="H188">
        <f t="shared" si="17"/>
        <v>1</v>
      </c>
      <c r="I188" t="str">
        <f t="shared" si="18"/>
        <v>sell</v>
      </c>
      <c r="J188">
        <f t="shared" si="14"/>
        <v>0</v>
      </c>
      <c r="K188">
        <f t="shared" si="15"/>
        <v>1</v>
      </c>
      <c r="L188">
        <f t="shared" si="19"/>
        <v>1</v>
      </c>
      <c r="M188">
        <f>IF(I188="sell",N187+(N187*E188/100),IF(I188="buy",0,M187))</f>
        <v>1431.7264167444055</v>
      </c>
      <c r="N188">
        <f>IF(I188="buy",M187,IF(I188="sell",0,IF(AND(I188="keep",N187&lt;&gt;0),N187+(N187*E187/100),N187)))</f>
        <v>0</v>
      </c>
      <c r="O188">
        <f>O187+(O187*E188/100)</f>
        <v>1471.9157193599654</v>
      </c>
    </row>
    <row r="189" spans="1:15" x14ac:dyDescent="0.25">
      <c r="A189" s="1">
        <v>45336</v>
      </c>
      <c r="B189">
        <v>-0.130461917511492</v>
      </c>
      <c r="C189">
        <v>1.1773067825641099</v>
      </c>
      <c r="D189">
        <v>-0.48097638830336598</v>
      </c>
      <c r="E189">
        <v>-0.490206988317887</v>
      </c>
      <c r="F189" s="3">
        <v>6.0005370511074997E-2</v>
      </c>
      <c r="G189" t="str">
        <f t="shared" si="16"/>
        <v>keep</v>
      </c>
      <c r="H189">
        <f t="shared" si="17"/>
        <v>1</v>
      </c>
      <c r="I189" t="str">
        <f t="shared" si="18"/>
        <v>keep</v>
      </c>
      <c r="J189">
        <f t="shared" si="14"/>
        <v>0</v>
      </c>
      <c r="K189">
        <f t="shared" si="15"/>
        <v>0</v>
      </c>
      <c r="L189">
        <f t="shared" si="19"/>
        <v>0</v>
      </c>
      <c r="M189">
        <f>IF(I189="sell",N188+(N188*E189/100),IF(I189="buy",0,M188))</f>
        <v>1431.7264167444055</v>
      </c>
      <c r="N189">
        <f>IF(I189="buy",M188,IF(I189="sell",0,IF(AND(I189="keep",N188&lt;&gt;0),N188+(N188*E188/100),N188)))</f>
        <v>0</v>
      </c>
      <c r="O189">
        <f>O188+(O188*E189/100)</f>
        <v>1464.7002856415133</v>
      </c>
    </row>
    <row r="190" spans="1:15" x14ac:dyDescent="0.25">
      <c r="A190" s="1">
        <v>45337</v>
      </c>
      <c r="B190">
        <v>0.59287175141056103</v>
      </c>
      <c r="C190">
        <v>0.213896188947271</v>
      </c>
      <c r="D190">
        <v>-0.157483182831019</v>
      </c>
      <c r="E190">
        <v>2.2602262869518599</v>
      </c>
      <c r="F190" s="3">
        <v>0.43410452483263501</v>
      </c>
      <c r="G190" t="str">
        <f t="shared" si="16"/>
        <v>buy</v>
      </c>
      <c r="H190">
        <f t="shared" si="17"/>
        <v>0</v>
      </c>
      <c r="I190" t="str">
        <f t="shared" si="18"/>
        <v>buy</v>
      </c>
      <c r="J190">
        <f t="shared" si="14"/>
        <v>1</v>
      </c>
      <c r="K190">
        <f t="shared" si="15"/>
        <v>0</v>
      </c>
      <c r="L190">
        <f t="shared" si="19"/>
        <v>0</v>
      </c>
      <c r="M190">
        <f>IF(I190="sell",N189+(N189*E190/100),IF(I190="buy",0,M189))</f>
        <v>0</v>
      </c>
      <c r="N190">
        <f>IF(I190="buy",M189,IF(I190="sell",0,IF(AND(I190="keep",N189&lt;&gt;0),N189+(N189*E189/100),N189)))</f>
        <v>1431.7264167444055</v>
      </c>
      <c r="O190">
        <f>O189+(O189*E190/100)</f>
        <v>1497.8058265226418</v>
      </c>
    </row>
    <row r="191" spans="1:15" x14ac:dyDescent="0.25">
      <c r="A191" s="1">
        <v>45338</v>
      </c>
      <c r="B191">
        <v>0.46950824277951497</v>
      </c>
      <c r="C191">
        <v>-0.89511786625141498</v>
      </c>
      <c r="D191">
        <v>-0.84303398190252998</v>
      </c>
      <c r="E191">
        <v>-0.79343116933728797</v>
      </c>
      <c r="F191" s="3">
        <v>0.133514662841134</v>
      </c>
      <c r="G191" t="str">
        <f t="shared" si="16"/>
        <v>keep</v>
      </c>
      <c r="H191">
        <f t="shared" si="17"/>
        <v>0</v>
      </c>
      <c r="I191" t="str">
        <f t="shared" si="18"/>
        <v>keep</v>
      </c>
      <c r="J191">
        <f t="shared" si="14"/>
        <v>0</v>
      </c>
      <c r="K191">
        <f t="shared" si="15"/>
        <v>0</v>
      </c>
      <c r="L191">
        <f t="shared" si="19"/>
        <v>0</v>
      </c>
      <c r="M191">
        <f>IF(I191="sell",N190+(N190*E191/100),IF(I191="buy",0,M190))</f>
        <v>0</v>
      </c>
      <c r="N191">
        <f>IF(I191="buy",M190,IF(I191="sell",0,IF(AND(I191="keep",N190&lt;&gt;0),N190+(N190*E190/100),N190)))</f>
        <v>1464.0866735728964</v>
      </c>
      <c r="O191">
        <f>O190+(O190*E191/100)</f>
        <v>1485.9217682388612</v>
      </c>
    </row>
    <row r="192" spans="1:15" x14ac:dyDescent="0.25">
      <c r="A192" s="1">
        <v>45343</v>
      </c>
      <c r="B192">
        <v>-0.256471081226883</v>
      </c>
      <c r="C192">
        <v>-0.38293099105114398</v>
      </c>
      <c r="D192">
        <v>0.41860842649628</v>
      </c>
      <c r="E192">
        <v>-0.80413495171456295</v>
      </c>
      <c r="F192" s="3">
        <v>0.16052360277630001</v>
      </c>
      <c r="G192" t="str">
        <f t="shared" si="16"/>
        <v>buy</v>
      </c>
      <c r="H192">
        <f t="shared" si="17"/>
        <v>0</v>
      </c>
      <c r="I192" t="str">
        <f t="shared" si="18"/>
        <v>keep</v>
      </c>
      <c r="J192">
        <f t="shared" ref="J192:J255" si="20">IF(I192="buy",1,0)</f>
        <v>0</v>
      </c>
      <c r="K192">
        <f t="shared" ref="K192:K255" si="21">IF(I192="sell",1,0)</f>
        <v>0</v>
      </c>
      <c r="L192">
        <f t="shared" si="19"/>
        <v>0</v>
      </c>
      <c r="M192">
        <f>IF(I192="sell",N191+(N191*E192/100),IF(I192="buy",0,M191))</f>
        <v>0</v>
      </c>
      <c r="N192">
        <f>IF(I192="buy",M191,IF(I192="sell",0,IF(AND(I192="keep",N191&lt;&gt;0),N191+(N191*E191/100),N191)))</f>
        <v>1452.4701535586555</v>
      </c>
      <c r="O192">
        <f>O191+(O191*E192/100)</f>
        <v>1473.9729519453174</v>
      </c>
    </row>
    <row r="193" spans="1:15" x14ac:dyDescent="0.25">
      <c r="A193" s="1">
        <v>45344</v>
      </c>
      <c r="B193">
        <v>-0.128571309571823</v>
      </c>
      <c r="C193">
        <v>3.0081341330768998</v>
      </c>
      <c r="D193">
        <v>1.12438199490307</v>
      </c>
      <c r="E193">
        <v>-0.52113068132015805</v>
      </c>
      <c r="F193" s="3">
        <v>0.62577325677204099</v>
      </c>
      <c r="G193" t="str">
        <f t="shared" si="16"/>
        <v>buy</v>
      </c>
      <c r="H193">
        <f t="shared" si="17"/>
        <v>0</v>
      </c>
      <c r="I193" t="str">
        <f t="shared" si="18"/>
        <v>keep</v>
      </c>
      <c r="J193">
        <f t="shared" si="20"/>
        <v>0</v>
      </c>
      <c r="K193">
        <f t="shared" si="21"/>
        <v>0</v>
      </c>
      <c r="L193">
        <f t="shared" si="19"/>
        <v>0</v>
      </c>
      <c r="M193">
        <f>IF(I193="sell",N192+(N192*E193/100),IF(I193="buy",0,M192))</f>
        <v>0</v>
      </c>
      <c r="N193">
        <f>IF(I193="buy",M192,IF(I193="sell",0,IF(AND(I193="keep",N192&lt;&gt;0),N192+(N192*E192/100),N192)))</f>
        <v>1440.7903333906681</v>
      </c>
      <c r="O193">
        <f>O192+(O192*E193/100)</f>
        <v>1466.29162665837</v>
      </c>
    </row>
    <row r="194" spans="1:15" x14ac:dyDescent="0.25">
      <c r="A194" s="1">
        <v>45345</v>
      </c>
      <c r="B194">
        <v>0.93578377338159302</v>
      </c>
      <c r="C194">
        <v>-0.372624074053584</v>
      </c>
      <c r="D194">
        <v>-1.0034205794125699</v>
      </c>
      <c r="E194">
        <v>-2.9112380515805499E-2</v>
      </c>
      <c r="F194" s="3">
        <v>0.31028768709636401</v>
      </c>
      <c r="G194" t="str">
        <f t="shared" si="16"/>
        <v>buy</v>
      </c>
      <c r="H194">
        <f t="shared" si="17"/>
        <v>0</v>
      </c>
      <c r="I194" t="str">
        <f t="shared" si="18"/>
        <v>keep</v>
      </c>
      <c r="J194">
        <f t="shared" si="20"/>
        <v>0</v>
      </c>
      <c r="K194">
        <f t="shared" si="21"/>
        <v>0</v>
      </c>
      <c r="L194">
        <f t="shared" si="19"/>
        <v>0</v>
      </c>
      <c r="M194">
        <f>IF(I194="sell",N193+(N193*E194/100),IF(I194="buy",0,M193))</f>
        <v>0</v>
      </c>
      <c r="N194">
        <f>IF(I194="buy",M193,IF(I194="sell",0,IF(AND(I194="keep",N193&lt;&gt;0),N193+(N193*E193/100),N193)))</f>
        <v>1433.2819329098743</v>
      </c>
      <c r="O194">
        <f>O193+(O193*E194/100)</f>
        <v>1465.8647542605459</v>
      </c>
    </row>
    <row r="195" spans="1:15" x14ac:dyDescent="0.25">
      <c r="A195" s="1">
        <v>45348</v>
      </c>
      <c r="B195">
        <v>-0.495436854061304</v>
      </c>
      <c r="C195">
        <v>-2.3856561850232799E-2</v>
      </c>
      <c r="D195">
        <v>-0.74512574671237097</v>
      </c>
      <c r="E195">
        <v>-1.0771473238459901</v>
      </c>
      <c r="F195" s="3">
        <v>-0.20885926843316199</v>
      </c>
      <c r="G195" t="str">
        <f t="shared" ref="G195:G258" si="22">IF(F195&gt;$R$2,"buy",IF(F195&lt;-$R$3,"sell","keep"))</f>
        <v>sell</v>
      </c>
      <c r="H195">
        <f t="shared" ref="H195:H258" si="23">IF(F195&lt;&gt;"",IF(OR(AND(F195&lt;0,E196&lt;0),AND(F195&gt;0,E196&gt;0)),1,0),"")</f>
        <v>0</v>
      </c>
      <c r="I195" t="str">
        <f t="shared" ref="I195:I258" si="24">IF(AND(G195="sell",N194&lt;&gt;0),"sell",IF(AND(G195="buy",M194&lt;&gt;0),"buy","keep"))</f>
        <v>sell</v>
      </c>
      <c r="J195">
        <f t="shared" si="20"/>
        <v>0</v>
      </c>
      <c r="K195">
        <f t="shared" si="21"/>
        <v>1</v>
      </c>
      <c r="L195">
        <f t="shared" ref="L195:L258" si="25">IF(AND(H195=1,OR(J195=1,K195=1)),1,0)</f>
        <v>0</v>
      </c>
      <c r="M195">
        <f>IF(I195="sell",N194+(N194*E195/100),IF(I195="buy",0,M194))</f>
        <v>1417.8433749263675</v>
      </c>
      <c r="N195">
        <f>IF(I195="buy",M194,IF(I195="sell",0,IF(AND(I195="keep",N194&lt;&gt;0),N194+(N194*E194/100),N194)))</f>
        <v>0</v>
      </c>
      <c r="O195">
        <f>O194+(O194*E195/100)</f>
        <v>1450.0752312888267</v>
      </c>
    </row>
    <row r="196" spans="1:15" x14ac:dyDescent="0.25">
      <c r="A196" s="1">
        <v>45349</v>
      </c>
      <c r="B196">
        <v>0.27113630761645902</v>
      </c>
      <c r="C196">
        <v>0.21033853144214401</v>
      </c>
      <c r="D196">
        <v>0.81143402056733605</v>
      </c>
      <c r="E196">
        <v>2.0600368949141101</v>
      </c>
      <c r="F196" s="3">
        <v>0.50568041971406696</v>
      </c>
      <c r="G196" t="str">
        <f t="shared" si="22"/>
        <v>buy</v>
      </c>
      <c r="H196">
        <f t="shared" si="23"/>
        <v>0</v>
      </c>
      <c r="I196" t="str">
        <f t="shared" si="24"/>
        <v>buy</v>
      </c>
      <c r="J196">
        <f t="shared" si="20"/>
        <v>1</v>
      </c>
      <c r="K196">
        <f t="shared" si="21"/>
        <v>0</v>
      </c>
      <c r="L196">
        <f t="shared" si="25"/>
        <v>0</v>
      </c>
      <c r="M196">
        <f>IF(I196="sell",N195+(N195*E196/100),IF(I196="buy",0,M195))</f>
        <v>0</v>
      </c>
      <c r="N196">
        <f>IF(I196="buy",M195,IF(I196="sell",0,IF(AND(I196="keep",N195&lt;&gt;0),N195+(N195*E195/100),N195)))</f>
        <v>1417.8433749263675</v>
      </c>
      <c r="O196">
        <f>O195+(O195*E196/100)</f>
        <v>1479.9473160573875</v>
      </c>
    </row>
    <row r="197" spans="1:15" x14ac:dyDescent="0.25">
      <c r="A197" s="1">
        <v>45350</v>
      </c>
      <c r="B197">
        <v>-4.9164208456242697E-2</v>
      </c>
      <c r="C197">
        <v>-0.53725729466379502</v>
      </c>
      <c r="D197">
        <v>-0.66253408336747199</v>
      </c>
      <c r="E197">
        <v>-2.7969993448117201</v>
      </c>
      <c r="F197" s="3">
        <v>-3.53282597671346E-2</v>
      </c>
      <c r="G197" t="str">
        <f t="shared" si="22"/>
        <v>keep</v>
      </c>
      <c r="H197">
        <f t="shared" si="23"/>
        <v>0</v>
      </c>
      <c r="I197" t="str">
        <f t="shared" si="24"/>
        <v>keep</v>
      </c>
      <c r="J197">
        <f t="shared" si="20"/>
        <v>0</v>
      </c>
      <c r="K197">
        <f t="shared" si="21"/>
        <v>0</v>
      </c>
      <c r="L197">
        <f t="shared" si="25"/>
        <v>0</v>
      </c>
      <c r="M197">
        <f>IF(I197="sell",N196+(N196*E197/100),IF(I197="buy",0,M196))</f>
        <v>0</v>
      </c>
      <c r="N197">
        <f>IF(I197="buy",M196,IF(I197="sell",0,IF(AND(I197="keep",N196&lt;&gt;0),N196+(N196*E196/100),N196)))</f>
        <v>1447.0514715619461</v>
      </c>
      <c r="O197">
        <f>O196+(O196*E197/100)</f>
        <v>1438.5531993237037</v>
      </c>
    </row>
    <row r="198" spans="1:15" x14ac:dyDescent="0.25">
      <c r="A198" s="1">
        <v>45351</v>
      </c>
      <c r="B198">
        <v>0.62469017077595401</v>
      </c>
      <c r="C198">
        <v>0.94743690382947898</v>
      </c>
      <c r="D198">
        <v>-0.36930175064106002</v>
      </c>
      <c r="E198">
        <v>0.23731637810540099</v>
      </c>
      <c r="F198" s="3">
        <v>0.406538120024312</v>
      </c>
      <c r="G198" t="str">
        <f t="shared" si="22"/>
        <v>buy</v>
      </c>
      <c r="H198">
        <f t="shared" si="23"/>
        <v>1</v>
      </c>
      <c r="I198" t="str">
        <f t="shared" si="24"/>
        <v>keep</v>
      </c>
      <c r="J198">
        <f t="shared" si="20"/>
        <v>0</v>
      </c>
      <c r="K198">
        <f t="shared" si="21"/>
        <v>0</v>
      </c>
      <c r="L198">
        <f t="shared" si="25"/>
        <v>0</v>
      </c>
      <c r="M198">
        <f>IF(I198="sell",N197+(N197*E198/100),IF(I198="buy",0,M197))</f>
        <v>0</v>
      </c>
      <c r="N198">
        <f>IF(I198="buy",M197,IF(I198="sell",0,IF(AND(I198="keep",N197&lt;&gt;0),N197+(N197*E197/100),N197)))</f>
        <v>1406.57745138327</v>
      </c>
      <c r="O198">
        <f>O197+(O197*E198/100)</f>
        <v>1441.967121673458</v>
      </c>
    </row>
    <row r="199" spans="1:15" x14ac:dyDescent="0.25">
      <c r="A199" s="1">
        <v>45352</v>
      </c>
      <c r="B199">
        <v>2.0139782057614801</v>
      </c>
      <c r="C199">
        <v>1.43572769937296</v>
      </c>
      <c r="D199">
        <v>-0.60304087292157804</v>
      </c>
      <c r="E199">
        <v>2.2195950095391401</v>
      </c>
      <c r="F199" s="3">
        <v>0.99066865040340701</v>
      </c>
      <c r="G199" t="str">
        <f t="shared" si="22"/>
        <v>buy</v>
      </c>
      <c r="H199">
        <f t="shared" si="23"/>
        <v>1</v>
      </c>
      <c r="I199" t="str">
        <f t="shared" si="24"/>
        <v>keep</v>
      </c>
      <c r="J199">
        <f t="shared" si="20"/>
        <v>0</v>
      </c>
      <c r="K199">
        <f t="shared" si="21"/>
        <v>0</v>
      </c>
      <c r="L199">
        <f t="shared" si="25"/>
        <v>0</v>
      </c>
      <c r="M199">
        <f>IF(I199="sell",N198+(N198*E199/100),IF(I199="buy",0,M198))</f>
        <v>0</v>
      </c>
      <c r="N199">
        <f>IF(I199="buy",M198,IF(I199="sell",0,IF(AND(I199="keep",N198&lt;&gt;0),N198+(N198*E198/100),N198)))</f>
        <v>1409.9154900461401</v>
      </c>
      <c r="O199">
        <f>O198+(O198*E199/100)</f>
        <v>1473.9729519453172</v>
      </c>
    </row>
    <row r="200" spans="1:15" x14ac:dyDescent="0.25">
      <c r="A200" s="1">
        <v>45355</v>
      </c>
      <c r="B200">
        <v>1.47587571370979</v>
      </c>
      <c r="C200">
        <v>-0.41758215959936101</v>
      </c>
      <c r="D200">
        <v>-2.5381353494087699</v>
      </c>
      <c r="E200">
        <v>1.4765399178908001</v>
      </c>
      <c r="F200" s="3">
        <v>0.223113844885138</v>
      </c>
      <c r="G200" t="str">
        <f t="shared" si="22"/>
        <v>buy</v>
      </c>
      <c r="H200">
        <f t="shared" si="23"/>
        <v>0</v>
      </c>
      <c r="I200" t="str">
        <f t="shared" si="24"/>
        <v>keep</v>
      </c>
      <c r="J200">
        <f t="shared" si="20"/>
        <v>0</v>
      </c>
      <c r="K200">
        <f t="shared" si="21"/>
        <v>0</v>
      </c>
      <c r="L200">
        <f t="shared" si="25"/>
        <v>0</v>
      </c>
      <c r="M200">
        <f>IF(I200="sell",N199+(N199*E200/100),IF(I200="buy",0,M199))</f>
        <v>0</v>
      </c>
      <c r="N200">
        <f>IF(I200="buy",M199,IF(I200="sell",0,IF(AND(I200="keep",N199&lt;&gt;0),N199+(N199*E199/100),N199)))</f>
        <v>1441.2099039019236</v>
      </c>
      <c r="O200">
        <f>O199+(O199*E200/100)</f>
        <v>1495.7367509597032</v>
      </c>
    </row>
    <row r="201" spans="1:15" x14ac:dyDescent="0.25">
      <c r="A201" s="1">
        <v>45356</v>
      </c>
      <c r="B201">
        <v>0.74609478171738797</v>
      </c>
      <c r="C201">
        <v>-1.80293353227694</v>
      </c>
      <c r="D201">
        <v>-2.8440937540879601</v>
      </c>
      <c r="E201">
        <v>-1.4550554434409499</v>
      </c>
      <c r="F201" s="3">
        <v>-0.34051283601642302</v>
      </c>
      <c r="G201" t="str">
        <f t="shared" si="22"/>
        <v>sell</v>
      </c>
      <c r="H201">
        <f t="shared" si="23"/>
        <v>1</v>
      </c>
      <c r="I201" t="str">
        <f t="shared" si="24"/>
        <v>sell</v>
      </c>
      <c r="J201">
        <f t="shared" si="20"/>
        <v>0</v>
      </c>
      <c r="K201">
        <f t="shared" si="21"/>
        <v>1</v>
      </c>
      <c r="L201">
        <f t="shared" si="25"/>
        <v>1</v>
      </c>
      <c r="M201">
        <f>IF(I201="sell",N200+(N200*E201/100),IF(I201="buy",0,M200))</f>
        <v>1420.2395007437885</v>
      </c>
      <c r="N201">
        <f>IF(I201="buy",M200,IF(I201="sell",0,IF(AND(I201="keep",N200&lt;&gt;0),N200+(N200*E200/100),N200)))</f>
        <v>0</v>
      </c>
      <c r="O201">
        <f>O200+(O200*E201/100)</f>
        <v>1473.9729519453172</v>
      </c>
    </row>
    <row r="202" spans="1:15" x14ac:dyDescent="0.25">
      <c r="A202" s="1">
        <v>45357</v>
      </c>
      <c r="B202">
        <v>0.787440770008207</v>
      </c>
      <c r="C202">
        <v>0.66880124630757098</v>
      </c>
      <c r="D202">
        <v>-0.58782295177077704</v>
      </c>
      <c r="E202">
        <v>-0.63694944932609598</v>
      </c>
      <c r="F202" s="3">
        <v>0.40051794759225601</v>
      </c>
      <c r="G202" t="str">
        <f t="shared" si="22"/>
        <v>buy</v>
      </c>
      <c r="H202">
        <f t="shared" si="23"/>
        <v>1</v>
      </c>
      <c r="I202" t="str">
        <f t="shared" si="24"/>
        <v>buy</v>
      </c>
      <c r="J202">
        <f t="shared" si="20"/>
        <v>1</v>
      </c>
      <c r="K202">
        <f t="shared" si="21"/>
        <v>0</v>
      </c>
      <c r="L202">
        <f t="shared" si="25"/>
        <v>1</v>
      </c>
      <c r="M202">
        <f>IF(I202="sell",N201+(N201*E202/100),IF(I202="buy",0,M201))</f>
        <v>0</v>
      </c>
      <c r="N202">
        <f>IF(I202="buy",M201,IF(I202="sell",0,IF(AND(I202="keep",N201&lt;&gt;0),N201+(N201*E201/100),N201)))</f>
        <v>1420.2395007437885</v>
      </c>
      <c r="O202">
        <f>O201+(O201*E202/100)</f>
        <v>1464.5844893446858</v>
      </c>
    </row>
    <row r="203" spans="1:15" x14ac:dyDescent="0.25">
      <c r="A203" s="1">
        <v>45358</v>
      </c>
      <c r="B203">
        <v>0.35808729000732498</v>
      </c>
      <c r="C203">
        <v>1.5563692385340799</v>
      </c>
      <c r="D203">
        <v>-7.0949299812272895E-2</v>
      </c>
      <c r="E203">
        <v>2.44756880532583</v>
      </c>
      <c r="F203" s="3">
        <v>0.47044334427745199</v>
      </c>
      <c r="G203" t="str">
        <f t="shared" si="22"/>
        <v>buy</v>
      </c>
      <c r="H203">
        <f t="shared" si="23"/>
        <v>1</v>
      </c>
      <c r="I203" t="str">
        <f t="shared" si="24"/>
        <v>keep</v>
      </c>
      <c r="J203">
        <f t="shared" si="20"/>
        <v>0</v>
      </c>
      <c r="K203">
        <f t="shared" si="21"/>
        <v>0</v>
      </c>
      <c r="L203">
        <f t="shared" si="25"/>
        <v>0</v>
      </c>
      <c r="M203">
        <f>IF(I203="sell",N202+(N202*E203/100),IF(I203="buy",0,M202))</f>
        <v>0</v>
      </c>
      <c r="N203">
        <f>IF(I203="buy",M202,IF(I203="sell",0,IF(AND(I203="keep",N202&lt;&gt;0),N202+(N202*E202/100),N202)))</f>
        <v>1411.1932930646892</v>
      </c>
      <c r="O203">
        <f>O202+(O202*E203/100)</f>
        <v>1500.431202433527</v>
      </c>
    </row>
    <row r="204" spans="1:15" x14ac:dyDescent="0.25">
      <c r="A204" s="1">
        <v>45359</v>
      </c>
      <c r="B204">
        <v>0.95459210640640402</v>
      </c>
      <c r="C204">
        <v>-1.5277143120332899</v>
      </c>
      <c r="D204">
        <v>1.0236605501964899</v>
      </c>
      <c r="E204">
        <v>0.79634121617537801</v>
      </c>
      <c r="F204" s="3">
        <v>0.61605027515501698</v>
      </c>
      <c r="G204" t="str">
        <f t="shared" si="22"/>
        <v>buy</v>
      </c>
      <c r="H204">
        <f t="shared" si="23"/>
        <v>1</v>
      </c>
      <c r="I204" t="str">
        <f t="shared" si="24"/>
        <v>keep</v>
      </c>
      <c r="J204">
        <f t="shared" si="20"/>
        <v>0</v>
      </c>
      <c r="K204">
        <f t="shared" si="21"/>
        <v>0</v>
      </c>
      <c r="L204">
        <f t="shared" si="25"/>
        <v>0</v>
      </c>
      <c r="M204">
        <f>IF(I204="sell",N203+(N203*E204/100),IF(I204="buy",0,M203))</f>
        <v>0</v>
      </c>
      <c r="N204">
        <f>IF(I204="buy",M203,IF(I204="sell",0,IF(AND(I204="keep",N203&lt;&gt;0),N203+(N203*E203/100),N203)))</f>
        <v>1445.7332198885908</v>
      </c>
      <c r="O204">
        <f>O203+(O203*E204/100)</f>
        <v>1512.3797545188611</v>
      </c>
    </row>
    <row r="205" spans="1:15" x14ac:dyDescent="0.25">
      <c r="A205" s="1">
        <v>45362</v>
      </c>
      <c r="B205">
        <v>0.17900955517011699</v>
      </c>
      <c r="C205">
        <v>-0.37050783235845702</v>
      </c>
      <c r="D205">
        <v>1.1831588716416801</v>
      </c>
      <c r="E205">
        <v>1.66478090957742</v>
      </c>
      <c r="F205" s="3">
        <v>0.50180089608046696</v>
      </c>
      <c r="G205" t="str">
        <f t="shared" si="22"/>
        <v>buy</v>
      </c>
      <c r="H205">
        <f t="shared" si="23"/>
        <v>0</v>
      </c>
      <c r="I205" t="str">
        <f t="shared" si="24"/>
        <v>keep</v>
      </c>
      <c r="J205">
        <f t="shared" si="20"/>
        <v>0</v>
      </c>
      <c r="K205">
        <f t="shared" si="21"/>
        <v>0</v>
      </c>
      <c r="L205">
        <f t="shared" si="25"/>
        <v>0</v>
      </c>
      <c r="M205">
        <f>IF(I205="sell",N204+(N204*E205/100),IF(I205="buy",0,M204))</f>
        <v>0</v>
      </c>
      <c r="N205">
        <f>IF(I205="buy",M204,IF(I205="sell",0,IF(AND(I205="keep",N204&lt;&gt;0),N204+(N204*E204/100),N204)))</f>
        <v>1457.2461893945031</v>
      </c>
      <c r="O205">
        <f>O204+(O204*E205/100)</f>
        <v>1537.557563952405</v>
      </c>
    </row>
    <row r="206" spans="1:15" x14ac:dyDescent="0.25">
      <c r="A206" s="1">
        <v>45363</v>
      </c>
      <c r="B206">
        <v>-1.01260470360824</v>
      </c>
      <c r="C206">
        <v>1.48966437155277</v>
      </c>
      <c r="D206">
        <v>0.27786046992908098</v>
      </c>
      <c r="E206">
        <v>-1.9150583361342599</v>
      </c>
      <c r="F206" s="3">
        <v>-7.1535749888329298E-3</v>
      </c>
      <c r="G206" t="str">
        <f t="shared" si="22"/>
        <v>keep</v>
      </c>
      <c r="H206">
        <f t="shared" si="23"/>
        <v>1</v>
      </c>
      <c r="I206" t="str">
        <f t="shared" si="24"/>
        <v>keep</v>
      </c>
      <c r="J206">
        <f t="shared" si="20"/>
        <v>0</v>
      </c>
      <c r="K206">
        <f t="shared" si="21"/>
        <v>0</v>
      </c>
      <c r="L206">
        <f t="shared" si="25"/>
        <v>0</v>
      </c>
      <c r="M206">
        <f>IF(I206="sell",N205+(N205*E206/100),IF(I206="buy",0,M205))</f>
        <v>0</v>
      </c>
      <c r="N206">
        <f>IF(I206="buy",M205,IF(I206="sell",0,IF(AND(I206="keep",N205&lt;&gt;0),N205+(N205*E205/100),N205)))</f>
        <v>1481.5061457610871</v>
      </c>
      <c r="O206">
        <f>O205+(O205*E206/100)</f>
        <v>1508.1124396510716</v>
      </c>
    </row>
    <row r="207" spans="1:15" x14ac:dyDescent="0.25">
      <c r="A207" s="1">
        <v>45364</v>
      </c>
      <c r="B207">
        <v>0.69431589881700995</v>
      </c>
      <c r="C207">
        <v>-0.82681688097061501</v>
      </c>
      <c r="D207">
        <v>-1.2122611433858901</v>
      </c>
      <c r="E207">
        <v>-0.31125657960202602</v>
      </c>
      <c r="F207" s="3">
        <v>0.115061708223022</v>
      </c>
      <c r="G207" t="str">
        <f t="shared" si="22"/>
        <v>keep</v>
      </c>
      <c r="H207">
        <f t="shared" si="23"/>
        <v>1</v>
      </c>
      <c r="I207" t="str">
        <f t="shared" si="24"/>
        <v>keep</v>
      </c>
      <c r="J207">
        <f t="shared" si="20"/>
        <v>0</v>
      </c>
      <c r="K207">
        <f t="shared" si="21"/>
        <v>0</v>
      </c>
      <c r="L207">
        <f t="shared" si="25"/>
        <v>0</v>
      </c>
      <c r="M207">
        <f>IF(I207="sell",N206+(N206*E207/100),IF(I207="buy",0,M206))</f>
        <v>0</v>
      </c>
      <c r="N207">
        <f>IF(I207="buy",M206,IF(I207="sell",0,IF(AND(I207="keep",N206&lt;&gt;0),N206+(N206*E206/100),N206)))</f>
        <v>1453.1344388163479</v>
      </c>
      <c r="O207">
        <f>O206+(O206*E207/100)</f>
        <v>1503.418340454861</v>
      </c>
    </row>
    <row r="208" spans="1:15" x14ac:dyDescent="0.25">
      <c r="A208" s="1">
        <v>45365</v>
      </c>
      <c r="B208">
        <v>-0.57000564955392796</v>
      </c>
      <c r="C208">
        <v>-0.296982279970814</v>
      </c>
      <c r="D208">
        <v>1.0927303408319</v>
      </c>
      <c r="E208">
        <v>1.0502239023326001</v>
      </c>
      <c r="F208" s="3">
        <v>0.137837099209142</v>
      </c>
      <c r="G208" t="str">
        <f t="shared" si="22"/>
        <v>keep</v>
      </c>
      <c r="H208">
        <f t="shared" si="23"/>
        <v>0</v>
      </c>
      <c r="I208" t="str">
        <f t="shared" si="24"/>
        <v>keep</v>
      </c>
      <c r="J208">
        <f t="shared" si="20"/>
        <v>0</v>
      </c>
      <c r="K208">
        <f t="shared" si="21"/>
        <v>0</v>
      </c>
      <c r="L208">
        <f t="shared" si="25"/>
        <v>0</v>
      </c>
      <c r="M208">
        <f>IF(I208="sell",N207+(N207*E208/100),IF(I208="buy",0,M207))</f>
        <v>0</v>
      </c>
      <c r="N208">
        <f>IF(I208="buy",M207,IF(I208="sell",0,IF(AND(I208="keep",N207&lt;&gt;0),N207+(N207*E207/100),N207)))</f>
        <v>1448.6114622650691</v>
      </c>
      <c r="O208">
        <f>O207+(O207*E208/100)</f>
        <v>1519.20759921837</v>
      </c>
    </row>
    <row r="209" spans="1:15" x14ac:dyDescent="0.25">
      <c r="A209" s="1">
        <v>45366</v>
      </c>
      <c r="B209">
        <v>-0.26352062745608101</v>
      </c>
      <c r="C209">
        <v>-1.14661514944897</v>
      </c>
      <c r="D209">
        <v>-0.21965166599857699</v>
      </c>
      <c r="E209">
        <v>-1.7134607427033199</v>
      </c>
      <c r="F209" s="3">
        <v>-0.123876773826873</v>
      </c>
      <c r="G209" t="str">
        <f t="shared" si="22"/>
        <v>keep</v>
      </c>
      <c r="H209">
        <f t="shared" si="23"/>
        <v>0</v>
      </c>
      <c r="I209" t="str">
        <f t="shared" si="24"/>
        <v>keep</v>
      </c>
      <c r="J209">
        <f t="shared" si="20"/>
        <v>0</v>
      </c>
      <c r="K209">
        <f t="shared" si="21"/>
        <v>0</v>
      </c>
      <c r="L209">
        <f t="shared" si="25"/>
        <v>0</v>
      </c>
      <c r="M209">
        <f>IF(I209="sell",N208+(N208*E209/100),IF(I209="buy",0,M208))</f>
        <v>0</v>
      </c>
      <c r="N209">
        <f>IF(I209="buy",M208,IF(I209="sell",0,IF(AND(I209="keep",N208&lt;&gt;0),N208+(N208*E208/100),N208)))</f>
        <v>1463.8251260937068</v>
      </c>
      <c r="O209">
        <f>O208+(O208*E209/100)</f>
        <v>1493.1765734055975</v>
      </c>
    </row>
    <row r="210" spans="1:15" x14ac:dyDescent="0.25">
      <c r="A210" s="1">
        <v>45369</v>
      </c>
      <c r="B210">
        <v>0.15759988257530999</v>
      </c>
      <c r="C210">
        <v>0.99257235059593196</v>
      </c>
      <c r="D210">
        <v>0.63723534004926896</v>
      </c>
      <c r="E210">
        <v>1.2860623087238301</v>
      </c>
      <c r="F210" s="3">
        <v>0.47651449702251403</v>
      </c>
      <c r="G210" t="str">
        <f t="shared" si="22"/>
        <v>buy</v>
      </c>
      <c r="H210">
        <f t="shared" si="23"/>
        <v>1</v>
      </c>
      <c r="I210" t="str">
        <f t="shared" si="24"/>
        <v>keep</v>
      </c>
      <c r="J210">
        <f t="shared" si="20"/>
        <v>0</v>
      </c>
      <c r="K210">
        <f t="shared" si="21"/>
        <v>0</v>
      </c>
      <c r="L210">
        <f t="shared" si="25"/>
        <v>0</v>
      </c>
      <c r="M210">
        <f>IF(I210="sell",N209+(N209*E210/100),IF(I210="buy",0,M209))</f>
        <v>0</v>
      </c>
      <c r="N210">
        <f>IF(I210="buy",M209,IF(I210="sell",0,IF(AND(I210="keep",N209&lt;&gt;0),N209+(N209*E209/100),N209)))</f>
        <v>1438.7430572162637</v>
      </c>
      <c r="O210">
        <f>O209+(O209*E210/100)</f>
        <v>1512.3797545188609</v>
      </c>
    </row>
    <row r="211" spans="1:15" x14ac:dyDescent="0.25">
      <c r="A211" s="1">
        <v>45370</v>
      </c>
      <c r="B211">
        <v>-0.20363319494517401</v>
      </c>
      <c r="C211">
        <v>0.26238213790239401</v>
      </c>
      <c r="D211">
        <v>1.35851258041412</v>
      </c>
      <c r="E211">
        <v>0.95937770598377703</v>
      </c>
      <c r="F211" s="3">
        <v>0.38880636499994897</v>
      </c>
      <c r="G211" t="str">
        <f t="shared" si="22"/>
        <v>buy</v>
      </c>
      <c r="H211">
        <f t="shared" si="23"/>
        <v>1</v>
      </c>
      <c r="I211" t="str">
        <f t="shared" si="24"/>
        <v>keep</v>
      </c>
      <c r="J211">
        <f t="shared" si="20"/>
        <v>0</v>
      </c>
      <c r="K211">
        <f t="shared" si="21"/>
        <v>0</v>
      </c>
      <c r="L211">
        <f t="shared" si="25"/>
        <v>0</v>
      </c>
      <c r="M211">
        <f>IF(I211="sell",N210+(N210*E211/100),IF(I211="buy",0,M210))</f>
        <v>0</v>
      </c>
      <c r="N211">
        <f>IF(I211="buy",M210,IF(I211="sell",0,IF(AND(I211="keep",N210&lt;&gt;0),N210+(N210*E210/100),N210)))</f>
        <v>1457.2461893945028</v>
      </c>
      <c r="O211">
        <f>O210+(O210*E211/100)</f>
        <v>1526.8891887135269</v>
      </c>
    </row>
    <row r="212" spans="1:15" x14ac:dyDescent="0.25">
      <c r="A212" s="1">
        <v>45371</v>
      </c>
      <c r="B212">
        <v>7.4194382942871506E-2</v>
      </c>
      <c r="C212">
        <v>1.1529938956853001</v>
      </c>
      <c r="D212">
        <v>1.4709240773754999</v>
      </c>
      <c r="E212">
        <v>0.61486940903274701</v>
      </c>
      <c r="F212" s="3">
        <v>0.62826805210280801</v>
      </c>
      <c r="G212" t="str">
        <f t="shared" si="22"/>
        <v>buy</v>
      </c>
      <c r="H212">
        <f t="shared" si="23"/>
        <v>1</v>
      </c>
      <c r="I212" t="str">
        <f t="shared" si="24"/>
        <v>keep</v>
      </c>
      <c r="J212">
        <f t="shared" si="20"/>
        <v>0</v>
      </c>
      <c r="K212">
        <f t="shared" si="21"/>
        <v>0</v>
      </c>
      <c r="L212">
        <f t="shared" si="25"/>
        <v>0</v>
      </c>
      <c r="M212">
        <f>IF(I212="sell",N211+(N211*E212/100),IF(I212="buy",0,M211))</f>
        <v>0</v>
      </c>
      <c r="N212">
        <f>IF(I212="buy",M211,IF(I212="sell",0,IF(AND(I212="keep",N211&lt;&gt;0),N211+(N211*E211/100),N211)))</f>
        <v>1471.2266844568519</v>
      </c>
      <c r="O212">
        <f>O211+(O211*E212/100)</f>
        <v>1536.2775632447547</v>
      </c>
    </row>
    <row r="213" spans="1:15" x14ac:dyDescent="0.25">
      <c r="A213" s="1">
        <v>45372</v>
      </c>
      <c r="B213">
        <v>1.1353631358614</v>
      </c>
      <c r="C213">
        <v>0.440082253481555</v>
      </c>
      <c r="D213">
        <v>-4.0857471188561298</v>
      </c>
      <c r="E213">
        <v>1.9166539306310499</v>
      </c>
      <c r="F213" s="3">
        <v>-0.115237521063313</v>
      </c>
      <c r="G213" t="str">
        <f t="shared" si="22"/>
        <v>keep</v>
      </c>
      <c r="H213">
        <f t="shared" si="23"/>
        <v>0</v>
      </c>
      <c r="I213" t="str">
        <f t="shared" si="24"/>
        <v>keep</v>
      </c>
      <c r="J213">
        <f t="shared" si="20"/>
        <v>0</v>
      </c>
      <c r="K213">
        <f t="shared" si="21"/>
        <v>0</v>
      </c>
      <c r="L213">
        <f t="shared" si="25"/>
        <v>0</v>
      </c>
      <c r="M213">
        <f>IF(I213="sell",N212+(N212*E213/100),IF(I213="buy",0,M212))</f>
        <v>0</v>
      </c>
      <c r="N213">
        <f>IF(I213="buy",M212,IF(I213="sell",0,IF(AND(I213="keep",N212&lt;&gt;0),N212+(N212*E212/100),N212)))</f>
        <v>1480.2728072771038</v>
      </c>
      <c r="O213">
        <f>O212+(O212*E213/100)</f>
        <v>1565.7226875460881</v>
      </c>
    </row>
    <row r="214" spans="1:15" x14ac:dyDescent="0.25">
      <c r="A214" s="1">
        <v>45373</v>
      </c>
      <c r="B214">
        <v>-1.11344417956597</v>
      </c>
      <c r="C214">
        <v>0.104029462576638</v>
      </c>
      <c r="D214">
        <v>0.53103093358195497</v>
      </c>
      <c r="E214">
        <v>0.327073223385698</v>
      </c>
      <c r="F214" s="3">
        <v>-0.16631924682390101</v>
      </c>
      <c r="G214" t="str">
        <f t="shared" si="22"/>
        <v>sell</v>
      </c>
      <c r="H214">
        <f t="shared" si="23"/>
        <v>0</v>
      </c>
      <c r="I214" t="str">
        <f t="shared" si="24"/>
        <v>sell</v>
      </c>
      <c r="J214">
        <f t="shared" si="20"/>
        <v>0</v>
      </c>
      <c r="K214">
        <f t="shared" si="21"/>
        <v>1</v>
      </c>
      <c r="L214">
        <f t="shared" si="25"/>
        <v>0</v>
      </c>
      <c r="M214">
        <f>IF(I214="sell",N213+(N213*E214/100),IF(I214="buy",0,M213))</f>
        <v>1485.114383262767</v>
      </c>
      <c r="N214">
        <f>IF(I214="buy",M213,IF(I214="sell",0,IF(AND(I214="keep",N213&lt;&gt;0),N213+(N213*E213/100),N213)))</f>
        <v>0</v>
      </c>
      <c r="O214">
        <f>O213+(O213*E214/100)</f>
        <v>1570.8437472095263</v>
      </c>
    </row>
    <row r="215" spans="1:15" x14ac:dyDescent="0.25">
      <c r="A215" s="1">
        <v>45376</v>
      </c>
      <c r="B215">
        <v>0.77382653334807605</v>
      </c>
      <c r="C215">
        <v>-0.34013529371733597</v>
      </c>
      <c r="D215">
        <v>-0.83005139837841702</v>
      </c>
      <c r="E215">
        <v>0.27166871397470399</v>
      </c>
      <c r="F215" s="3">
        <v>0.31084818276258802</v>
      </c>
      <c r="G215" t="str">
        <f t="shared" si="22"/>
        <v>buy</v>
      </c>
      <c r="H215">
        <f t="shared" si="23"/>
        <v>1</v>
      </c>
      <c r="I215" t="str">
        <f t="shared" si="24"/>
        <v>buy</v>
      </c>
      <c r="J215">
        <f t="shared" si="20"/>
        <v>1</v>
      </c>
      <c r="K215">
        <f t="shared" si="21"/>
        <v>0</v>
      </c>
      <c r="L215">
        <f t="shared" si="25"/>
        <v>1</v>
      </c>
      <c r="M215">
        <f>IF(I215="sell",N214+(N214*E215/100),IF(I215="buy",0,M214))</f>
        <v>0</v>
      </c>
      <c r="N215">
        <f>IF(I215="buy",M214,IF(I215="sell",0,IF(AND(I215="keep",N214&lt;&gt;0),N214+(N214*E214/100),N214)))</f>
        <v>1485.114383262767</v>
      </c>
      <c r="O215">
        <f>O214+(O214*E215/100)</f>
        <v>1575.1112382161225</v>
      </c>
    </row>
    <row r="216" spans="1:15" x14ac:dyDescent="0.25">
      <c r="A216" s="1">
        <v>45377</v>
      </c>
      <c r="B216">
        <v>3.6787236075164202E-2</v>
      </c>
      <c r="C216">
        <v>-0.36396161299785401</v>
      </c>
      <c r="D216">
        <v>-0.66724730189648895</v>
      </c>
      <c r="E216">
        <v>1.0024330040459799</v>
      </c>
      <c r="F216" s="3">
        <v>3.7337502156018401E-2</v>
      </c>
      <c r="G216" t="str">
        <f t="shared" si="22"/>
        <v>keep</v>
      </c>
      <c r="H216">
        <f t="shared" si="23"/>
        <v>1</v>
      </c>
      <c r="I216" t="str">
        <f t="shared" si="24"/>
        <v>keep</v>
      </c>
      <c r="J216">
        <f t="shared" si="20"/>
        <v>0</v>
      </c>
      <c r="K216">
        <f t="shared" si="21"/>
        <v>0</v>
      </c>
      <c r="L216">
        <f t="shared" si="25"/>
        <v>0</v>
      </c>
      <c r="M216">
        <f>IF(I216="sell",N215+(N215*E216/100),IF(I216="buy",0,M215))</f>
        <v>0</v>
      </c>
      <c r="N216">
        <f>IF(I216="buy",M215,IF(I216="sell",0,IF(AND(I216="keep",N215&lt;&gt;0),N215+(N215*E215/100),N215)))</f>
        <v>1489.1489744088303</v>
      </c>
      <c r="O216">
        <f>O215+(O215*E216/100)</f>
        <v>1590.9006731184381</v>
      </c>
    </row>
    <row r="217" spans="1:15" x14ac:dyDescent="0.25">
      <c r="A217" s="1">
        <v>45378</v>
      </c>
      <c r="B217">
        <v>0.68946494423120996</v>
      </c>
      <c r="C217">
        <v>0.38604448231172001</v>
      </c>
      <c r="D217">
        <v>2.1212602726166501</v>
      </c>
      <c r="E217">
        <v>0.241417125724563</v>
      </c>
      <c r="F217" s="3">
        <v>0.93346110939860405</v>
      </c>
      <c r="G217" t="str">
        <f t="shared" si="22"/>
        <v>buy</v>
      </c>
      <c r="H217">
        <f t="shared" si="23"/>
        <v>0</v>
      </c>
      <c r="I217" t="str">
        <f t="shared" si="24"/>
        <v>keep</v>
      </c>
      <c r="J217">
        <f t="shared" si="20"/>
        <v>0</v>
      </c>
      <c r="K217">
        <f t="shared" si="21"/>
        <v>0</v>
      </c>
      <c r="L217">
        <f t="shared" si="25"/>
        <v>0</v>
      </c>
      <c r="M217">
        <f>IF(I217="sell",N216+(N216*E217/100),IF(I217="buy",0,M216))</f>
        <v>0</v>
      </c>
      <c r="N217">
        <f>IF(I217="buy",M216,IF(I217="sell",0,IF(AND(I217="keep",N216&lt;&gt;0),N216+(N216*E216/100),N216)))</f>
        <v>1504.0766952077167</v>
      </c>
      <c r="O217">
        <f>O216+(O216*E217/100)</f>
        <v>1594.7413797966135</v>
      </c>
    </row>
    <row r="218" spans="1:15" x14ac:dyDescent="0.25">
      <c r="A218" s="1">
        <v>45379</v>
      </c>
      <c r="B218">
        <v>1.22340014118385</v>
      </c>
      <c r="C218">
        <v>-0.143048081206953</v>
      </c>
      <c r="D218">
        <v>-1.05592500573177</v>
      </c>
      <c r="E218">
        <v>-0.32111059445166701</v>
      </c>
      <c r="F218" s="3">
        <v>0.48560476070056802</v>
      </c>
      <c r="G218" t="str">
        <f t="shared" si="22"/>
        <v>buy</v>
      </c>
      <c r="H218">
        <f t="shared" si="23"/>
        <v>0</v>
      </c>
      <c r="I218" t="str">
        <f t="shared" si="24"/>
        <v>keep</v>
      </c>
      <c r="J218">
        <f t="shared" si="20"/>
        <v>0</v>
      </c>
      <c r="K218">
        <f t="shared" si="21"/>
        <v>0</v>
      </c>
      <c r="L218">
        <f t="shared" si="25"/>
        <v>0</v>
      </c>
      <c r="M218">
        <f>IF(I218="sell",N217+(N217*E218/100),IF(I218="buy",0,M217))</f>
        <v>0</v>
      </c>
      <c r="N218">
        <f>IF(I218="buy",M217,IF(I218="sell",0,IF(AND(I218="keep",N217&lt;&gt;0),N217+(N217*E217/100),N217)))</f>
        <v>1507.7077939339802</v>
      </c>
      <c r="O218">
        <f>O217+(O217*E218/100)</f>
        <v>1589.6204962719819</v>
      </c>
    </row>
    <row r="219" spans="1:15" x14ac:dyDescent="0.25">
      <c r="A219" s="1">
        <v>45385</v>
      </c>
      <c r="B219">
        <v>1.4772181487726599</v>
      </c>
      <c r="C219">
        <v>0.211955766708982</v>
      </c>
      <c r="D219">
        <v>0.47972924585393201</v>
      </c>
      <c r="E219">
        <v>-2.3293585393006402</v>
      </c>
      <c r="F219" s="3">
        <v>0.86120270141307098</v>
      </c>
      <c r="G219" t="str">
        <f t="shared" si="22"/>
        <v>buy</v>
      </c>
      <c r="H219">
        <f t="shared" si="23"/>
        <v>1</v>
      </c>
      <c r="I219" t="str">
        <f t="shared" si="24"/>
        <v>keep</v>
      </c>
      <c r="J219">
        <f t="shared" si="20"/>
        <v>0</v>
      </c>
      <c r="K219">
        <f t="shared" si="21"/>
        <v>0</v>
      </c>
      <c r="L219">
        <f t="shared" si="25"/>
        <v>0</v>
      </c>
      <c r="M219">
        <f>IF(I219="sell",N218+(N218*E219/100),IF(I219="buy",0,M218))</f>
        <v>0</v>
      </c>
      <c r="N219">
        <f>IF(I219="buy",M218,IF(I219="sell",0,IF(AND(I219="keep",N218&lt;&gt;0),N218+(N218*E218/100),N218)))</f>
        <v>1502.8663844742846</v>
      </c>
      <c r="O219">
        <f>O218+(O218*E219/100)</f>
        <v>1552.5925354995973</v>
      </c>
    </row>
    <row r="220" spans="1:15" x14ac:dyDescent="0.25">
      <c r="A220" s="1">
        <v>45386</v>
      </c>
      <c r="B220">
        <v>-0.244066150364841</v>
      </c>
      <c r="C220">
        <v>-1.5495992317501599</v>
      </c>
      <c r="D220">
        <v>-0.48923584125415398</v>
      </c>
      <c r="E220">
        <v>1.24791278162854</v>
      </c>
      <c r="F220" s="3">
        <v>-0.19909775338988001</v>
      </c>
      <c r="G220" t="str">
        <f t="shared" si="22"/>
        <v>sell</v>
      </c>
      <c r="H220">
        <f t="shared" si="23"/>
        <v>1</v>
      </c>
      <c r="I220" t="str">
        <f t="shared" si="24"/>
        <v>sell</v>
      </c>
      <c r="J220">
        <f t="shared" si="20"/>
        <v>0</v>
      </c>
      <c r="K220">
        <f t="shared" si="21"/>
        <v>1</v>
      </c>
      <c r="L220">
        <f t="shared" si="25"/>
        <v>1</v>
      </c>
      <c r="M220">
        <f>IF(I220="sell",N219+(N219*E220/100),IF(I220="buy",0,M219))</f>
        <v>1521.6208461769379</v>
      </c>
      <c r="N220">
        <f>IF(I220="buy",M219,IF(I220="sell",0,IF(AND(I220="keep",N219&lt;&gt;0),N219+(N219*E219/100),N219)))</f>
        <v>0</v>
      </c>
      <c r="O220">
        <f>O219+(O219*E220/100)</f>
        <v>1571.9675361967074</v>
      </c>
    </row>
    <row r="221" spans="1:15" x14ac:dyDescent="0.25">
      <c r="A221" s="1">
        <v>45387</v>
      </c>
      <c r="B221">
        <v>1.6121942308871799</v>
      </c>
      <c r="C221">
        <v>1.28466064047865</v>
      </c>
      <c r="D221">
        <v>0.45018049044742697</v>
      </c>
      <c r="E221">
        <v>-0.19173521728257301</v>
      </c>
      <c r="F221" s="3">
        <v>1.0476147828174001</v>
      </c>
      <c r="G221" t="str">
        <f t="shared" si="22"/>
        <v>buy</v>
      </c>
      <c r="H221">
        <f t="shared" si="23"/>
        <v>1</v>
      </c>
      <c r="I221" t="str">
        <f t="shared" si="24"/>
        <v>buy</v>
      </c>
      <c r="J221">
        <f t="shared" si="20"/>
        <v>1</v>
      </c>
      <c r="K221">
        <f t="shared" si="21"/>
        <v>0</v>
      </c>
      <c r="L221">
        <f t="shared" si="25"/>
        <v>1</v>
      </c>
      <c r="M221">
        <f>IF(I221="sell",N220+(N220*E221/100),IF(I221="buy",0,M220))</f>
        <v>0</v>
      </c>
      <c r="N221">
        <f>IF(I221="buy",M220,IF(I221="sell",0,IF(AND(I221="keep",N220&lt;&gt;0),N220+(N220*E220/100),N220)))</f>
        <v>1521.6208461769379</v>
      </c>
      <c r="O221">
        <f>O220+(O220*E221/100)</f>
        <v>1568.9535208255693</v>
      </c>
    </row>
    <row r="222" spans="1:15" x14ac:dyDescent="0.25">
      <c r="A222" s="1">
        <v>45390</v>
      </c>
      <c r="B222">
        <v>0.25798684808746503</v>
      </c>
      <c r="C222">
        <v>-4.56774565411599E-2</v>
      </c>
      <c r="D222">
        <v>-0.66635709036618695</v>
      </c>
      <c r="E222">
        <v>2.0581810965578602</v>
      </c>
      <c r="F222" s="3">
        <v>0.15305965194683999</v>
      </c>
      <c r="G222" t="str">
        <f t="shared" si="22"/>
        <v>buy</v>
      </c>
      <c r="H222">
        <f t="shared" si="23"/>
        <v>1</v>
      </c>
      <c r="I222" t="str">
        <f t="shared" si="24"/>
        <v>keep</v>
      </c>
      <c r="J222">
        <f t="shared" si="20"/>
        <v>0</v>
      </c>
      <c r="K222">
        <f t="shared" si="21"/>
        <v>0</v>
      </c>
      <c r="L222">
        <f t="shared" si="25"/>
        <v>0</v>
      </c>
      <c r="M222">
        <f>IF(I222="sell",N221+(N221*E222/100),IF(I222="buy",0,M221))</f>
        <v>0</v>
      </c>
      <c r="N222">
        <f>IF(I222="buy",M221,IF(I222="sell",0,IF(AND(I222="keep",N221&lt;&gt;0),N221+(N221*E221/100),N221)))</f>
        <v>1518.7033631413037</v>
      </c>
      <c r="O222">
        <f>O221+(O221*E222/100)</f>
        <v>1601.24542560498</v>
      </c>
    </row>
    <row r="223" spans="1:15" x14ac:dyDescent="0.25">
      <c r="A223" s="1">
        <v>45391</v>
      </c>
      <c r="B223">
        <v>0.50607063838527999</v>
      </c>
      <c r="C223">
        <v>0.38513926984318197</v>
      </c>
      <c r="D223">
        <v>0.72425995040095104</v>
      </c>
      <c r="E223">
        <v>0.86043940920814599</v>
      </c>
      <c r="F223" s="3">
        <v>0.57224416899228503</v>
      </c>
      <c r="G223" t="str">
        <f t="shared" si="22"/>
        <v>buy</v>
      </c>
      <c r="H223">
        <f t="shared" si="23"/>
        <v>0</v>
      </c>
      <c r="I223" t="str">
        <f t="shared" si="24"/>
        <v>keep</v>
      </c>
      <c r="J223">
        <f t="shared" si="20"/>
        <v>0</v>
      </c>
      <c r="K223">
        <f t="shared" si="21"/>
        <v>0</v>
      </c>
      <c r="L223">
        <f t="shared" si="25"/>
        <v>0</v>
      </c>
      <c r="M223">
        <f>IF(I223="sell",N222+(N222*E223/100),IF(I223="buy",0,M222))</f>
        <v>0</v>
      </c>
      <c r="N223">
        <f>IF(I223="buy",M222,IF(I223="sell",0,IF(AND(I223="keep",N222&lt;&gt;0),N222+(N222*E222/100),N222)))</f>
        <v>1549.9610286742666</v>
      </c>
      <c r="O223">
        <f>O222+(O222*E223/100)</f>
        <v>1615.0231722850281</v>
      </c>
    </row>
    <row r="224" spans="1:15" x14ac:dyDescent="0.25">
      <c r="A224" s="1">
        <v>45392</v>
      </c>
      <c r="B224">
        <v>-0.59312576674844797</v>
      </c>
      <c r="C224">
        <v>-0.87089214014979199</v>
      </c>
      <c r="D224">
        <v>-1.1139378685563801</v>
      </c>
      <c r="E224">
        <v>-1.33297270364867</v>
      </c>
      <c r="F224" s="3">
        <v>-0.37479535525076701</v>
      </c>
      <c r="G224" t="str">
        <f t="shared" si="22"/>
        <v>sell</v>
      </c>
      <c r="H224">
        <f t="shared" si="23"/>
        <v>1</v>
      </c>
      <c r="I224" t="str">
        <f t="shared" si="24"/>
        <v>sell</v>
      </c>
      <c r="J224">
        <f t="shared" si="20"/>
        <v>0</v>
      </c>
      <c r="K224">
        <f t="shared" si="21"/>
        <v>1</v>
      </c>
      <c r="L224">
        <f t="shared" si="25"/>
        <v>1</v>
      </c>
      <c r="M224">
        <f>IF(I224="sell",N223+(N223*E224/100),IF(I224="buy",0,M223))</f>
        <v>1529.3004712448464</v>
      </c>
      <c r="N224">
        <f>IF(I224="buy",M223,IF(I224="sell",0,IF(AND(I224="keep",N223&lt;&gt;0),N223+(N223*E223/100),N223)))</f>
        <v>0</v>
      </c>
      <c r="O224">
        <f>O223+(O223*E224/100)</f>
        <v>1593.4953542408678</v>
      </c>
    </row>
    <row r="225" spans="1:15" x14ac:dyDescent="0.25">
      <c r="A225" s="1">
        <v>45393</v>
      </c>
      <c r="B225">
        <v>1.08172862789746</v>
      </c>
      <c r="C225">
        <v>1.64515824709905</v>
      </c>
      <c r="D225">
        <v>4.3271091841332101</v>
      </c>
      <c r="E225">
        <v>-0.70250159758304898</v>
      </c>
      <c r="F225" s="3">
        <v>1.6060486754911001</v>
      </c>
      <c r="G225" t="str">
        <f t="shared" si="22"/>
        <v>buy</v>
      </c>
      <c r="H225">
        <f t="shared" si="23"/>
        <v>1</v>
      </c>
      <c r="I225" t="str">
        <f t="shared" si="24"/>
        <v>buy</v>
      </c>
      <c r="J225">
        <f t="shared" si="20"/>
        <v>1</v>
      </c>
      <c r="K225">
        <f t="shared" si="21"/>
        <v>0</v>
      </c>
      <c r="L225">
        <f t="shared" si="25"/>
        <v>1</v>
      </c>
      <c r="M225">
        <f>IF(I225="sell",N224+(N224*E225/100),IF(I225="buy",0,M224))</f>
        <v>0</v>
      </c>
      <c r="N225">
        <f>IF(I225="buy",M224,IF(I225="sell",0,IF(AND(I225="keep",N224&lt;&gt;0),N224+(N224*E224/100),N224)))</f>
        <v>1529.3004712448464</v>
      </c>
      <c r="O225">
        <f>O224+(O224*E225/100)</f>
        <v>1582.3010239199141</v>
      </c>
    </row>
    <row r="226" spans="1:15" x14ac:dyDescent="0.25">
      <c r="A226" s="1">
        <v>45394</v>
      </c>
      <c r="B226">
        <v>5.9448883757529103E-2</v>
      </c>
      <c r="C226">
        <v>-1.6631557745800201</v>
      </c>
      <c r="D226">
        <v>0.86264559237114702</v>
      </c>
      <c r="E226">
        <v>0.16325835646140399</v>
      </c>
      <c r="F226" s="3">
        <v>9.3677720735839395E-2</v>
      </c>
      <c r="G226" t="str">
        <f t="shared" si="22"/>
        <v>keep</v>
      </c>
      <c r="H226">
        <f t="shared" si="23"/>
        <v>1</v>
      </c>
      <c r="I226" t="str">
        <f t="shared" si="24"/>
        <v>keep</v>
      </c>
      <c r="J226">
        <f t="shared" si="20"/>
        <v>0</v>
      </c>
      <c r="K226">
        <f t="shared" si="21"/>
        <v>0</v>
      </c>
      <c r="L226">
        <f t="shared" si="25"/>
        <v>0</v>
      </c>
      <c r="M226">
        <f>IF(I226="sell",N225+(N225*E226/100),IF(I226="buy",0,M225))</f>
        <v>0</v>
      </c>
      <c r="N226">
        <f>IF(I226="buy",M225,IF(I226="sell",0,IF(AND(I226="keep",N225&lt;&gt;0),N225+(N225*E225/100),N225)))</f>
        <v>1518.5571110025064</v>
      </c>
      <c r="O226">
        <f>O225+(O225*E226/100)</f>
        <v>1584.8842625658376</v>
      </c>
    </row>
    <row r="227" spans="1:15" x14ac:dyDescent="0.25">
      <c r="A227" s="1">
        <v>45397</v>
      </c>
      <c r="B227">
        <v>0.40743985464710603</v>
      </c>
      <c r="C227">
        <v>-1.64779246906009</v>
      </c>
      <c r="D227">
        <v>-2.1863404281940801</v>
      </c>
      <c r="E227">
        <v>0.32599572896594398</v>
      </c>
      <c r="F227" s="3">
        <v>-0.25160583238518502</v>
      </c>
      <c r="G227" t="str">
        <f t="shared" si="22"/>
        <v>sell</v>
      </c>
      <c r="H227">
        <f t="shared" si="23"/>
        <v>1</v>
      </c>
      <c r="I227" t="str">
        <f t="shared" si="24"/>
        <v>sell</v>
      </c>
      <c r="J227">
        <f t="shared" si="20"/>
        <v>0</v>
      </c>
      <c r="K227">
        <f t="shared" si="21"/>
        <v>1</v>
      </c>
      <c r="L227">
        <f t="shared" si="25"/>
        <v>1</v>
      </c>
      <c r="M227">
        <f>IF(I227="sell",N226+(N226*E227/100),IF(I227="buy",0,M226))</f>
        <v>1523.5075423262833</v>
      </c>
      <c r="N227">
        <f>IF(I227="buy",M226,IF(I227="sell",0,IF(AND(I227="keep",N226&lt;&gt;0),N226+(N226*E226/100),N226)))</f>
        <v>0</v>
      </c>
      <c r="O227">
        <f>O226+(O226*E227/100)</f>
        <v>1590.0509175708557</v>
      </c>
    </row>
    <row r="228" spans="1:15" x14ac:dyDescent="0.25">
      <c r="A228" s="1">
        <v>45398</v>
      </c>
      <c r="B228">
        <v>1.05672497607662</v>
      </c>
      <c r="C228">
        <v>3.8573127402607897E-2</v>
      </c>
      <c r="D228">
        <v>-1.9167212208764399</v>
      </c>
      <c r="E228">
        <v>-1.4893004450063401</v>
      </c>
      <c r="F228" s="3">
        <v>0.25334692886399501</v>
      </c>
      <c r="G228" t="str">
        <f t="shared" si="22"/>
        <v>buy</v>
      </c>
      <c r="H228">
        <f t="shared" si="23"/>
        <v>1</v>
      </c>
      <c r="I228" t="str">
        <f t="shared" si="24"/>
        <v>buy</v>
      </c>
      <c r="J228">
        <f t="shared" si="20"/>
        <v>1</v>
      </c>
      <c r="K228">
        <f t="shared" si="21"/>
        <v>0</v>
      </c>
      <c r="L228">
        <f t="shared" si="25"/>
        <v>1</v>
      </c>
      <c r="M228">
        <f>IF(I228="sell",N227+(N227*E228/100),IF(I228="buy",0,M227))</f>
        <v>0</v>
      </c>
      <c r="N228">
        <f>IF(I228="buy",M227,IF(I228="sell",0,IF(AND(I228="keep",N227&lt;&gt;0),N227+(N227*E227/100),N227)))</f>
        <v>1523.5075423262833</v>
      </c>
      <c r="O228">
        <f>O227+(O227*E228/100)</f>
        <v>1566.3702821796455</v>
      </c>
    </row>
    <row r="229" spans="1:15" x14ac:dyDescent="0.25">
      <c r="A229" s="1">
        <v>45399</v>
      </c>
      <c r="B229">
        <v>-0.79889983545935395</v>
      </c>
      <c r="C229">
        <v>-1.2422108908268801</v>
      </c>
      <c r="D229">
        <v>-0.81473705185397505</v>
      </c>
      <c r="E229">
        <v>1.59428665823466</v>
      </c>
      <c r="F229" s="3">
        <v>-0.45755894915808998</v>
      </c>
      <c r="G229" t="str">
        <f t="shared" si="22"/>
        <v>sell</v>
      </c>
      <c r="H229">
        <f t="shared" si="23"/>
        <v>0</v>
      </c>
      <c r="I229" t="str">
        <f t="shared" si="24"/>
        <v>sell</v>
      </c>
      <c r="J229">
        <f t="shared" si="20"/>
        <v>0</v>
      </c>
      <c r="K229">
        <f t="shared" si="21"/>
        <v>1</v>
      </c>
      <c r="L229">
        <f t="shared" si="25"/>
        <v>0</v>
      </c>
      <c r="M229">
        <f>IF(I229="sell",N228+(N228*E229/100),IF(I229="buy",0,M228))</f>
        <v>1547.7966198107899</v>
      </c>
      <c r="N229">
        <f>IF(I229="buy",M228,IF(I229="sell",0,IF(AND(I229="keep",N228&lt;&gt;0),N228+(N228*E228/100),N228)))</f>
        <v>0</v>
      </c>
      <c r="O229">
        <f>O228+(O228*E229/100)</f>
        <v>1591.3427146069882</v>
      </c>
    </row>
    <row r="230" spans="1:15" x14ac:dyDescent="0.25">
      <c r="A230" s="1">
        <v>45400</v>
      </c>
      <c r="B230">
        <v>0.44694092315566902</v>
      </c>
      <c r="C230">
        <v>-0.56768466805920903</v>
      </c>
      <c r="D230">
        <v>-0.57143322826627097</v>
      </c>
      <c r="E230">
        <v>1.2986907113327899</v>
      </c>
      <c r="F230" s="3">
        <v>0.178812445489545</v>
      </c>
      <c r="G230" t="str">
        <f t="shared" si="22"/>
        <v>buy</v>
      </c>
      <c r="H230">
        <f t="shared" si="23"/>
        <v>1</v>
      </c>
      <c r="I230" t="str">
        <f t="shared" si="24"/>
        <v>buy</v>
      </c>
      <c r="J230">
        <f t="shared" si="20"/>
        <v>1</v>
      </c>
      <c r="K230">
        <f t="shared" si="21"/>
        <v>0</v>
      </c>
      <c r="L230">
        <f t="shared" si="25"/>
        <v>1</v>
      </c>
      <c r="M230">
        <f>IF(I230="sell",N229+(N229*E230/100),IF(I230="buy",0,M229))</f>
        <v>0</v>
      </c>
      <c r="N230">
        <f>IF(I230="buy",M229,IF(I230="sell",0,IF(AND(I230="keep",N229&lt;&gt;0),N229+(N229*E229/100),N229)))</f>
        <v>1547.7966198107899</v>
      </c>
      <c r="O230">
        <f>O229+(O229*E230/100)</f>
        <v>1612.0093346270603</v>
      </c>
    </row>
    <row r="231" spans="1:15" x14ac:dyDescent="0.25">
      <c r="A231" s="1">
        <v>45401</v>
      </c>
      <c r="B231">
        <v>0.67581132458711601</v>
      </c>
      <c r="C231">
        <v>-2.05044146641429</v>
      </c>
      <c r="D231">
        <v>-1.2212674706717299</v>
      </c>
      <c r="E231">
        <v>0.29379829826292603</v>
      </c>
      <c r="F231" s="3">
        <v>-4.1260332943290803E-2</v>
      </c>
      <c r="G231" t="str">
        <f t="shared" si="22"/>
        <v>keep</v>
      </c>
      <c r="H231">
        <f t="shared" si="23"/>
        <v>0</v>
      </c>
      <c r="I231" t="str">
        <f t="shared" si="24"/>
        <v>keep</v>
      </c>
      <c r="J231">
        <f t="shared" si="20"/>
        <v>0</v>
      </c>
      <c r="K231">
        <f t="shared" si="21"/>
        <v>0</v>
      </c>
      <c r="L231">
        <f t="shared" si="25"/>
        <v>0</v>
      </c>
      <c r="M231">
        <f>IF(I231="sell",N230+(N230*E231/100),IF(I231="buy",0,M230))</f>
        <v>0</v>
      </c>
      <c r="N231">
        <f>IF(I231="buy",M230,IF(I231="sell",0,IF(AND(I231="keep",N230&lt;&gt;0),N230+(N230*E230/100),N230)))</f>
        <v>1567.8977107425956</v>
      </c>
      <c r="O231">
        <f>O230+(O230*E231/100)</f>
        <v>1616.7453906200342</v>
      </c>
    </row>
    <row r="232" spans="1:15" x14ac:dyDescent="0.25">
      <c r="A232" s="1">
        <v>45404</v>
      </c>
      <c r="B232">
        <v>-2.7601715254901098</v>
      </c>
      <c r="C232">
        <v>1.01680824763445</v>
      </c>
      <c r="D232">
        <v>0.50910209013790197</v>
      </c>
      <c r="E232">
        <v>2.2370323975852999</v>
      </c>
      <c r="F232" s="3">
        <v>-0.68868630237745998</v>
      </c>
      <c r="G232" t="str">
        <f t="shared" si="22"/>
        <v>sell</v>
      </c>
      <c r="H232">
        <f t="shared" si="23"/>
        <v>0</v>
      </c>
      <c r="I232" t="str">
        <f t="shared" si="24"/>
        <v>sell</v>
      </c>
      <c r="J232">
        <f t="shared" si="20"/>
        <v>0</v>
      </c>
      <c r="K232">
        <f t="shared" si="21"/>
        <v>1</v>
      </c>
      <c r="L232">
        <f t="shared" si="25"/>
        <v>0</v>
      </c>
      <c r="M232">
        <f>IF(I232="sell",N231+(N231*E232/100),IF(I232="buy",0,M231))</f>
        <v>1602.9720904929056</v>
      </c>
      <c r="N232">
        <f>IF(I232="buy",M231,IF(I232="sell",0,IF(AND(I232="keep",N231&lt;&gt;0),N231+(N231*E231/100),N231)))</f>
        <v>0</v>
      </c>
      <c r="O232">
        <f>O231+(O231*E232/100)</f>
        <v>1652.9125087946713</v>
      </c>
    </row>
    <row r="233" spans="1:15" x14ac:dyDescent="0.25">
      <c r="A233" s="1">
        <v>45405</v>
      </c>
      <c r="B233">
        <v>-0.192950865886898</v>
      </c>
      <c r="C233">
        <v>1.51404179947833</v>
      </c>
      <c r="D233">
        <v>0.63916039897411403</v>
      </c>
      <c r="E233">
        <v>2.6050925850773499E-2</v>
      </c>
      <c r="F233" s="3">
        <v>0.40359915594081403</v>
      </c>
      <c r="G233" t="str">
        <f t="shared" si="22"/>
        <v>buy</v>
      </c>
      <c r="H233">
        <f t="shared" si="23"/>
        <v>1</v>
      </c>
      <c r="I233" t="str">
        <f t="shared" si="24"/>
        <v>buy</v>
      </c>
      <c r="J233">
        <f t="shared" si="20"/>
        <v>1</v>
      </c>
      <c r="K233">
        <f t="shared" si="21"/>
        <v>0</v>
      </c>
      <c r="L233">
        <f t="shared" si="25"/>
        <v>1</v>
      </c>
      <c r="M233">
        <f>IF(I233="sell",N232+(N232*E233/100),IF(I233="buy",0,M232))</f>
        <v>0</v>
      </c>
      <c r="N233">
        <f>IF(I233="buy",M232,IF(I233="sell",0,IF(AND(I233="keep",N232&lt;&gt;0),N232+(N232*E232/100),N232)))</f>
        <v>1602.9720904929056</v>
      </c>
      <c r="O233">
        <f>O232+(O232*E233/100)</f>
        <v>1653.3431078067156</v>
      </c>
    </row>
    <row r="234" spans="1:15" x14ac:dyDescent="0.25">
      <c r="A234" s="1">
        <v>45406</v>
      </c>
      <c r="B234">
        <v>-0.13747266567858399</v>
      </c>
      <c r="C234">
        <v>0.31668815445000598</v>
      </c>
      <c r="D234">
        <v>1.2702298198600599</v>
      </c>
      <c r="E234">
        <v>0.130199208120518</v>
      </c>
      <c r="F234" s="3">
        <v>0.380931638300961</v>
      </c>
      <c r="G234" t="str">
        <f t="shared" si="22"/>
        <v>buy</v>
      </c>
      <c r="H234">
        <f t="shared" si="23"/>
        <v>0</v>
      </c>
      <c r="I234" t="str">
        <f t="shared" si="24"/>
        <v>keep</v>
      </c>
      <c r="J234">
        <f t="shared" si="20"/>
        <v>0</v>
      </c>
      <c r="K234">
        <f t="shared" si="21"/>
        <v>0</v>
      </c>
      <c r="L234">
        <f t="shared" si="25"/>
        <v>0</v>
      </c>
      <c r="M234">
        <f>IF(I234="sell",N233+(N233*E234/100),IF(I234="buy",0,M233))</f>
        <v>0</v>
      </c>
      <c r="N234">
        <f>IF(I234="buy",M233,IF(I234="sell",0,IF(AND(I234="keep",N233&lt;&gt;0),N233+(N233*E233/100),N233)))</f>
        <v>1603.3896795636085</v>
      </c>
      <c r="O234">
        <f>O233+(O233*E234/100)</f>
        <v>1655.4957474405951</v>
      </c>
    </row>
    <row r="235" spans="1:15" x14ac:dyDescent="0.25">
      <c r="A235" s="1">
        <v>45407</v>
      </c>
      <c r="B235">
        <v>0.228008123386747</v>
      </c>
      <c r="C235">
        <v>-0.54944871258547601</v>
      </c>
      <c r="D235">
        <v>0.51473218954267697</v>
      </c>
      <c r="E235">
        <v>-7.8030827812724995E-2</v>
      </c>
      <c r="F235" s="3">
        <v>0.292055845178463</v>
      </c>
      <c r="G235" t="str">
        <f t="shared" si="22"/>
        <v>buy</v>
      </c>
      <c r="H235">
        <f t="shared" si="23"/>
        <v>1</v>
      </c>
      <c r="I235" t="str">
        <f t="shared" si="24"/>
        <v>keep</v>
      </c>
      <c r="J235">
        <f t="shared" si="20"/>
        <v>0</v>
      </c>
      <c r="K235">
        <f t="shared" si="21"/>
        <v>0</v>
      </c>
      <c r="L235">
        <f t="shared" si="25"/>
        <v>0</v>
      </c>
      <c r="M235">
        <f>IF(I235="sell",N234+(N234*E235/100),IF(I235="buy",0,M234))</f>
        <v>0</v>
      </c>
      <c r="N235">
        <f>IF(I235="buy",M234,IF(I235="sell",0,IF(AND(I235="keep",N234&lt;&gt;0),N234+(N234*E234/100),N234)))</f>
        <v>1605.4772802294865</v>
      </c>
      <c r="O235">
        <f>O234+(O234*E235/100)</f>
        <v>1654.2039504044628</v>
      </c>
    </row>
    <row r="236" spans="1:15" x14ac:dyDescent="0.25">
      <c r="A236" s="1">
        <v>45408</v>
      </c>
      <c r="B236">
        <v>0.21461069169927899</v>
      </c>
      <c r="C236">
        <v>1.65113325062391</v>
      </c>
      <c r="D236">
        <v>-0.34730729995466803</v>
      </c>
      <c r="E236">
        <v>1.0671681556635599</v>
      </c>
      <c r="F236" s="3">
        <v>0.408103571621176</v>
      </c>
      <c r="G236" t="str">
        <f t="shared" si="22"/>
        <v>buy</v>
      </c>
      <c r="H236">
        <f t="shared" si="23"/>
        <v>1</v>
      </c>
      <c r="I236" t="str">
        <f t="shared" si="24"/>
        <v>keep</v>
      </c>
      <c r="J236">
        <f t="shared" si="20"/>
        <v>0</v>
      </c>
      <c r="K236">
        <f t="shared" si="21"/>
        <v>0</v>
      </c>
      <c r="L236">
        <f t="shared" si="25"/>
        <v>0</v>
      </c>
      <c r="M236">
        <f>IF(I236="sell",N235+(N235*E236/100),IF(I236="buy",0,M235))</f>
        <v>0</v>
      </c>
      <c r="N236">
        <f>IF(I236="buy",M235,IF(I236="sell",0,IF(AND(I236="keep",N235&lt;&gt;0),N235+(N235*E235/100),N235)))</f>
        <v>1604.2245130173783</v>
      </c>
      <c r="O236">
        <f>O235+(O235*E236/100)</f>
        <v>1671.8570881929079</v>
      </c>
    </row>
    <row r="237" spans="1:15" x14ac:dyDescent="0.25">
      <c r="A237" s="1">
        <v>45411</v>
      </c>
      <c r="B237">
        <v>0.45399405918915497</v>
      </c>
      <c r="C237">
        <v>0.363578441693301</v>
      </c>
      <c r="D237">
        <v>2.4808218025479301</v>
      </c>
      <c r="E237">
        <v>0.95286637474003499</v>
      </c>
      <c r="F237" s="3">
        <v>0.80128476606264198</v>
      </c>
      <c r="G237" t="str">
        <f t="shared" si="22"/>
        <v>buy</v>
      </c>
      <c r="H237">
        <f t="shared" si="23"/>
        <v>1</v>
      </c>
      <c r="I237" t="str">
        <f t="shared" si="24"/>
        <v>keep</v>
      </c>
      <c r="J237">
        <f t="shared" si="20"/>
        <v>0</v>
      </c>
      <c r="K237">
        <f t="shared" si="21"/>
        <v>0</v>
      </c>
      <c r="L237">
        <f t="shared" si="25"/>
        <v>0</v>
      </c>
      <c r="M237">
        <f>IF(I237="sell",N236+(N236*E237/100),IF(I237="buy",0,M236))</f>
        <v>0</v>
      </c>
      <c r="N237">
        <f>IF(I237="buy",M236,IF(I237="sell",0,IF(AND(I237="keep",N236&lt;&gt;0),N236+(N236*E236/100),N236)))</f>
        <v>1621.3442861656486</v>
      </c>
      <c r="O237">
        <f>O236+(O236*E237/100)</f>
        <v>1687.7876522200061</v>
      </c>
    </row>
    <row r="238" spans="1:15" x14ac:dyDescent="0.25">
      <c r="A238" s="1">
        <v>45412</v>
      </c>
      <c r="B238">
        <v>-2.3023792209609102</v>
      </c>
      <c r="C238">
        <v>-1.9233910024796901</v>
      </c>
      <c r="D238">
        <v>-1.82709709773256</v>
      </c>
      <c r="E238">
        <v>0.102039989019986</v>
      </c>
      <c r="F238" s="3">
        <v>-1.1870672384073999</v>
      </c>
      <c r="G238" t="str">
        <f t="shared" si="22"/>
        <v>sell</v>
      </c>
      <c r="H238">
        <f t="shared" si="23"/>
        <v>0</v>
      </c>
      <c r="I238" t="str">
        <f t="shared" si="24"/>
        <v>sell</v>
      </c>
      <c r="J238">
        <f t="shared" si="20"/>
        <v>0</v>
      </c>
      <c r="K238">
        <f t="shared" si="21"/>
        <v>1</v>
      </c>
      <c r="L238">
        <f t="shared" si="25"/>
        <v>0</v>
      </c>
      <c r="M238">
        <f>IF(I238="sell",N237+(N237*E238/100),IF(I238="buy",0,M237))</f>
        <v>1622.9987056972282</v>
      </c>
      <c r="N238">
        <f>IF(I238="buy",M237,IF(I238="sell",0,IF(AND(I238="keep",N237&lt;&gt;0),N237+(N237*E237/100),N237)))</f>
        <v>0</v>
      </c>
      <c r="O238">
        <f>O237+(O237*E238/100)</f>
        <v>1689.509870555012</v>
      </c>
    </row>
    <row r="239" spans="1:15" x14ac:dyDescent="0.25">
      <c r="A239" s="1">
        <v>45415</v>
      </c>
      <c r="B239">
        <v>-8.6965542850258992E-3</v>
      </c>
      <c r="C239">
        <v>1.9910551605853499</v>
      </c>
      <c r="D239">
        <v>5.9816296995947198</v>
      </c>
      <c r="E239">
        <v>1.6289210008296899</v>
      </c>
      <c r="F239" s="3">
        <v>1.28110678382484</v>
      </c>
      <c r="G239" t="str">
        <f t="shared" si="22"/>
        <v>buy</v>
      </c>
      <c r="H239">
        <f t="shared" si="23"/>
        <v>0</v>
      </c>
      <c r="I239" t="str">
        <f t="shared" si="24"/>
        <v>buy</v>
      </c>
      <c r="J239">
        <f t="shared" si="20"/>
        <v>1</v>
      </c>
      <c r="K239">
        <f t="shared" si="21"/>
        <v>0</v>
      </c>
      <c r="L239">
        <f t="shared" si="25"/>
        <v>0</v>
      </c>
      <c r="M239">
        <f>IF(I239="sell",N238+(N238*E239/100),IF(I239="buy",0,M238))</f>
        <v>0</v>
      </c>
      <c r="N239">
        <f>IF(I239="buy",M238,IF(I239="sell",0,IF(AND(I239="keep",N238&lt;&gt;0),N238+(N238*E238/100),N238)))</f>
        <v>1622.9987056972282</v>
      </c>
      <c r="O239">
        <f>O238+(O238*E239/100)</f>
        <v>1717.030651647573</v>
      </c>
    </row>
    <row r="240" spans="1:15" x14ac:dyDescent="0.25">
      <c r="A240" s="1">
        <v>45418</v>
      </c>
      <c r="B240">
        <v>0.98304035042409099</v>
      </c>
      <c r="C240">
        <v>1.1333731437136401</v>
      </c>
      <c r="D240">
        <v>-0.91068110826602</v>
      </c>
      <c r="E240">
        <v>-5.0092411506164003E-2</v>
      </c>
      <c r="F240" s="3">
        <v>0.55165257556068403</v>
      </c>
      <c r="G240" t="str">
        <f t="shared" si="22"/>
        <v>buy</v>
      </c>
      <c r="H240">
        <f t="shared" si="23"/>
        <v>0</v>
      </c>
      <c r="I240" t="str">
        <f t="shared" si="24"/>
        <v>keep</v>
      </c>
      <c r="J240">
        <f t="shared" si="20"/>
        <v>0</v>
      </c>
      <c r="K240">
        <f t="shared" si="21"/>
        <v>0</v>
      </c>
      <c r="L240">
        <f t="shared" si="25"/>
        <v>0</v>
      </c>
      <c r="M240">
        <f>IF(I240="sell",N239+(N239*E240/100),IF(I240="buy",0,M239))</f>
        <v>0</v>
      </c>
      <c r="N240">
        <f>IF(I240="buy",M239,IF(I240="sell",0,IF(AND(I240="keep",N239&lt;&gt;0),N239+(N239*E239/100),N239)))</f>
        <v>1649.4360724575245</v>
      </c>
      <c r="O240">
        <f>O239+(O239*E240/100)</f>
        <v>1716.1705495878628</v>
      </c>
    </row>
    <row r="241" spans="1:15" x14ac:dyDescent="0.25">
      <c r="A241" s="1">
        <v>45419</v>
      </c>
      <c r="B241">
        <v>-0.27567824841307997</v>
      </c>
      <c r="C241">
        <v>-1.17229143467345E-2</v>
      </c>
      <c r="D241">
        <v>0.37972643171613102</v>
      </c>
      <c r="E241">
        <v>-0.125283449408919</v>
      </c>
      <c r="F241" s="3">
        <v>0.15852528189207901</v>
      </c>
      <c r="G241" t="str">
        <f t="shared" si="22"/>
        <v>buy</v>
      </c>
      <c r="H241">
        <f t="shared" si="23"/>
        <v>0</v>
      </c>
      <c r="I241" t="str">
        <f t="shared" si="24"/>
        <v>keep</v>
      </c>
      <c r="J241">
        <f t="shared" si="20"/>
        <v>0</v>
      </c>
      <c r="K241">
        <f t="shared" si="21"/>
        <v>0</v>
      </c>
      <c r="L241">
        <f t="shared" si="25"/>
        <v>0</v>
      </c>
      <c r="M241">
        <f>IF(I241="sell",N240+(N240*E241/100),IF(I241="buy",0,M240))</f>
        <v>0</v>
      </c>
      <c r="N241">
        <f>IF(I241="buy",M240,IF(I241="sell",0,IF(AND(I241="keep",N240&lt;&gt;0),N240+(N240*E240/100),N240)))</f>
        <v>1648.6098301525778</v>
      </c>
      <c r="O241">
        <f>O240+(O240*E241/100)</f>
        <v>1714.0204719255992</v>
      </c>
    </row>
    <row r="242" spans="1:15" x14ac:dyDescent="0.25">
      <c r="A242" s="1">
        <v>45420</v>
      </c>
      <c r="B242">
        <v>-6.9102174730750698E-2</v>
      </c>
      <c r="C242">
        <v>-3.55939043198749E-2</v>
      </c>
      <c r="D242">
        <v>0.186403995195427</v>
      </c>
      <c r="E242">
        <v>-0.82790385579196701</v>
      </c>
      <c r="F242" s="3">
        <v>0.19397362440768001</v>
      </c>
      <c r="G242" t="str">
        <f t="shared" si="22"/>
        <v>buy</v>
      </c>
      <c r="H242">
        <f t="shared" si="23"/>
        <v>1</v>
      </c>
      <c r="I242" t="str">
        <f t="shared" si="24"/>
        <v>keep</v>
      </c>
      <c r="J242">
        <f t="shared" si="20"/>
        <v>0</v>
      </c>
      <c r="K242">
        <f t="shared" si="21"/>
        <v>0</v>
      </c>
      <c r="L242">
        <f t="shared" si="25"/>
        <v>0</v>
      </c>
      <c r="M242">
        <f>IF(I242="sell",N241+(N241*E242/100),IF(I242="buy",0,M241))</f>
        <v>0</v>
      </c>
      <c r="N242">
        <f>IF(I242="buy",M241,IF(I242="sell",0,IF(AND(I242="keep",N241&lt;&gt;0),N241+(N241*E241/100),N241)))</f>
        <v>1646.5443948900681</v>
      </c>
      <c r="O242">
        <f>O241+(O241*E242/100)</f>
        <v>1699.8300303494634</v>
      </c>
    </row>
    <row r="243" spans="1:15" x14ac:dyDescent="0.25">
      <c r="A243" s="1">
        <v>45421</v>
      </c>
      <c r="B243">
        <v>0.79961960663561504</v>
      </c>
      <c r="C243">
        <v>0.157319084942253</v>
      </c>
      <c r="D243">
        <v>1.0014357936901801</v>
      </c>
      <c r="E243">
        <v>0.45535191467074299</v>
      </c>
      <c r="F243" s="3">
        <v>0.59977641860920305</v>
      </c>
      <c r="G243" t="str">
        <f t="shared" si="22"/>
        <v>buy</v>
      </c>
      <c r="H243">
        <f t="shared" si="23"/>
        <v>0</v>
      </c>
      <c r="I243" t="str">
        <f t="shared" si="24"/>
        <v>keep</v>
      </c>
      <c r="J243">
        <f t="shared" si="20"/>
        <v>0</v>
      </c>
      <c r="K243">
        <f t="shared" si="21"/>
        <v>0</v>
      </c>
      <c r="L243">
        <f t="shared" si="25"/>
        <v>0</v>
      </c>
      <c r="M243">
        <f>IF(I243="sell",N242+(N242*E243/100),IF(I243="buy",0,M242))</f>
        <v>0</v>
      </c>
      <c r="N243">
        <f>IF(I243="buy",M242,IF(I243="sell",0,IF(AND(I243="keep",N242&lt;&gt;0),N242+(N242*E242/100),N242)))</f>
        <v>1632.9125903574468</v>
      </c>
      <c r="O243">
        <f>O242+(O242*E243/100)</f>
        <v>1707.570238938808</v>
      </c>
    </row>
    <row r="244" spans="1:15" x14ac:dyDescent="0.25">
      <c r="A244" s="1">
        <v>45422</v>
      </c>
      <c r="B244">
        <v>1.50936708108073</v>
      </c>
      <c r="C244">
        <v>0.26344358024483699</v>
      </c>
      <c r="D244">
        <v>-0.68903375249393894</v>
      </c>
      <c r="E244">
        <v>0</v>
      </c>
      <c r="F244" s="3">
        <v>0.63105195147996196</v>
      </c>
      <c r="G244" t="str">
        <f t="shared" si="22"/>
        <v>buy</v>
      </c>
      <c r="H244">
        <f t="shared" si="23"/>
        <v>1</v>
      </c>
      <c r="I244" t="str">
        <f t="shared" si="24"/>
        <v>keep</v>
      </c>
      <c r="J244">
        <f t="shared" si="20"/>
        <v>0</v>
      </c>
      <c r="K244">
        <f t="shared" si="21"/>
        <v>0</v>
      </c>
      <c r="L244">
        <f t="shared" si="25"/>
        <v>0</v>
      </c>
      <c r="M244">
        <f>IF(I244="sell",N243+(N243*E244/100),IF(I244="buy",0,M243))</f>
        <v>0</v>
      </c>
      <c r="N244">
        <f>IF(I244="buy",M243,IF(I244="sell",0,IF(AND(I244="keep",N243&lt;&gt;0),N243+(N243*E243/100),N243)))</f>
        <v>1640.348089102539</v>
      </c>
      <c r="O244">
        <f>O243+(O243*E244/100)</f>
        <v>1707.570238938808</v>
      </c>
    </row>
    <row r="245" spans="1:15" x14ac:dyDescent="0.25">
      <c r="A245" s="1">
        <v>45425</v>
      </c>
      <c r="B245">
        <v>-1.31795507659959</v>
      </c>
      <c r="C245">
        <v>0.20609722575324299</v>
      </c>
      <c r="D245">
        <v>1.76455160890056</v>
      </c>
      <c r="E245">
        <v>0.125914449270325</v>
      </c>
      <c r="F245" s="3">
        <v>1.38878611572157E-2</v>
      </c>
      <c r="G245" t="str">
        <f t="shared" si="22"/>
        <v>keep</v>
      </c>
      <c r="H245">
        <f t="shared" si="23"/>
        <v>1</v>
      </c>
      <c r="I245" t="str">
        <f t="shared" si="24"/>
        <v>keep</v>
      </c>
      <c r="J245">
        <f t="shared" si="20"/>
        <v>0</v>
      </c>
      <c r="K245">
        <f t="shared" si="21"/>
        <v>0</v>
      </c>
      <c r="L245">
        <f t="shared" si="25"/>
        <v>0</v>
      </c>
      <c r="M245">
        <f>IF(I245="sell",N244+(N244*E245/100),IF(I245="buy",0,M244))</f>
        <v>0</v>
      </c>
      <c r="N245">
        <f>IF(I245="buy",M244,IF(I245="sell",0,IF(AND(I245="keep",N244&lt;&gt;0),N244+(N244*E244/100),N244)))</f>
        <v>1640.348089102539</v>
      </c>
      <c r="O245">
        <f>O244+(O244*E245/100)</f>
        <v>1709.7203166010718</v>
      </c>
    </row>
    <row r="246" spans="1:15" x14ac:dyDescent="0.25">
      <c r="A246" s="1">
        <v>45426</v>
      </c>
      <c r="B246">
        <v>0.74054209855376396</v>
      </c>
      <c r="C246">
        <v>0.68225079011017198</v>
      </c>
      <c r="D246">
        <v>0.61735048622804101</v>
      </c>
      <c r="E246">
        <v>1.86964882550815</v>
      </c>
      <c r="F246" s="3">
        <v>0.58058556690471597</v>
      </c>
      <c r="G246" t="str">
        <f t="shared" si="22"/>
        <v>buy</v>
      </c>
      <c r="H246">
        <f t="shared" si="23"/>
        <v>1</v>
      </c>
      <c r="I246" t="str">
        <f t="shared" si="24"/>
        <v>keep</v>
      </c>
      <c r="J246">
        <f t="shared" si="20"/>
        <v>0</v>
      </c>
      <c r="K246">
        <f t="shared" si="21"/>
        <v>0</v>
      </c>
      <c r="L246">
        <f t="shared" si="25"/>
        <v>0</v>
      </c>
      <c r="M246">
        <f>IF(I246="sell",N245+(N245*E246/100),IF(I246="buy",0,M245))</f>
        <v>0</v>
      </c>
      <c r="N246">
        <f>IF(I246="buy",M245,IF(I246="sell",0,IF(AND(I246="keep",N245&lt;&gt;0),N245+(N245*E245/100),N245)))</f>
        <v>1642.4135243650487</v>
      </c>
      <c r="O246">
        <f>O245+(O245*E246/100)</f>
        <v>1741.6860824198779</v>
      </c>
    </row>
    <row r="247" spans="1:15" x14ac:dyDescent="0.25">
      <c r="A247" s="1">
        <v>45427</v>
      </c>
      <c r="B247">
        <v>1.4999596453186601</v>
      </c>
      <c r="C247">
        <v>1.49475688654976</v>
      </c>
      <c r="D247">
        <v>1.22179767841557</v>
      </c>
      <c r="E247">
        <v>1.9627772613444601</v>
      </c>
      <c r="F247" s="3">
        <v>0.99404005026480802</v>
      </c>
      <c r="G247" t="str">
        <f t="shared" si="22"/>
        <v>buy</v>
      </c>
      <c r="H247">
        <f t="shared" si="23"/>
        <v>0</v>
      </c>
      <c r="I247" t="str">
        <f t="shared" si="24"/>
        <v>keep</v>
      </c>
      <c r="J247">
        <f t="shared" si="20"/>
        <v>0</v>
      </c>
      <c r="K247">
        <f t="shared" si="21"/>
        <v>0</v>
      </c>
      <c r="L247">
        <f t="shared" si="25"/>
        <v>0</v>
      </c>
      <c r="M247">
        <f>IF(I247="sell",N246+(N246*E247/100),IF(I247="buy",0,M246))</f>
        <v>0</v>
      </c>
      <c r="N247">
        <f>IF(I247="buy",M246,IF(I247="sell",0,IF(AND(I247="keep",N246&lt;&gt;0),N246+(N246*E246/100),N246)))</f>
        <v>1673.1208895333268</v>
      </c>
      <c r="O247">
        <f>O246+(O246*E247/100)</f>
        <v>1775.8715008096165</v>
      </c>
    </row>
    <row r="248" spans="1:15" x14ac:dyDescent="0.25">
      <c r="A248" s="1">
        <v>45428</v>
      </c>
      <c r="B248">
        <v>-0.36421280821003998</v>
      </c>
      <c r="C248">
        <v>-0.208045278651392</v>
      </c>
      <c r="D248">
        <v>6.3240848114021198E-2</v>
      </c>
      <c r="E248">
        <v>-0.27499484790680601</v>
      </c>
      <c r="F248" s="3">
        <v>8.4489189250900307E-2</v>
      </c>
      <c r="G248" t="str">
        <f t="shared" si="22"/>
        <v>keep</v>
      </c>
      <c r="H248">
        <f t="shared" si="23"/>
        <v>0</v>
      </c>
      <c r="I248" t="str">
        <f t="shared" si="24"/>
        <v>keep</v>
      </c>
      <c r="J248">
        <f t="shared" si="20"/>
        <v>0</v>
      </c>
      <c r="K248">
        <f t="shared" si="21"/>
        <v>0</v>
      </c>
      <c r="L248">
        <f t="shared" si="25"/>
        <v>0</v>
      </c>
      <c r="M248">
        <f>IF(I248="sell",N247+(N247*E248/100),IF(I248="buy",0,M247))</f>
        <v>0</v>
      </c>
      <c r="N248">
        <f>IF(I248="buy",M247,IF(I248="sell",0,IF(AND(I248="keep",N247&lt;&gt;0),N247+(N247*E247/100),N247)))</f>
        <v>1705.9605259078912</v>
      </c>
      <c r="O248">
        <f>O247+(O247*E248/100)</f>
        <v>1770.9879456769447</v>
      </c>
    </row>
    <row r="249" spans="1:15" x14ac:dyDescent="0.25">
      <c r="A249" s="1">
        <v>45429</v>
      </c>
      <c r="B249">
        <v>1.3529391248686899</v>
      </c>
      <c r="C249">
        <v>-6.3209901074290295E-2</v>
      </c>
      <c r="D249">
        <v>1.58042659865298E-2</v>
      </c>
      <c r="E249">
        <v>-0.250688330585491</v>
      </c>
      <c r="F249" s="3">
        <v>0.60038190970709004</v>
      </c>
      <c r="G249" t="str">
        <f t="shared" si="22"/>
        <v>buy</v>
      </c>
      <c r="H249">
        <f t="shared" si="23"/>
        <v>0</v>
      </c>
      <c r="I249" t="str">
        <f t="shared" si="24"/>
        <v>keep</v>
      </c>
      <c r="J249">
        <f t="shared" si="20"/>
        <v>0</v>
      </c>
      <c r="K249">
        <f t="shared" si="21"/>
        <v>0</v>
      </c>
      <c r="L249">
        <f t="shared" si="25"/>
        <v>0</v>
      </c>
      <c r="M249">
        <f>IF(I249="sell",N248+(N248*E249/100),IF(I249="buy",0,M248))</f>
        <v>0</v>
      </c>
      <c r="N249">
        <f>IF(I249="buy",M248,IF(I249="sell",0,IF(AND(I249="keep",N248&lt;&gt;0),N248+(N248*E248/100),N248)))</f>
        <v>1701.2692223543206</v>
      </c>
      <c r="O249">
        <f>O248+(O248*E249/100)</f>
        <v>1766.5482855610569</v>
      </c>
    </row>
    <row r="250" spans="1:15" x14ac:dyDescent="0.25">
      <c r="A250" s="1">
        <v>45432</v>
      </c>
      <c r="B250">
        <v>0.899591725857251</v>
      </c>
      <c r="C250">
        <v>0.68994604909395896</v>
      </c>
      <c r="D250">
        <v>0.61620424849928501</v>
      </c>
      <c r="E250">
        <v>-0.92988997512637395</v>
      </c>
      <c r="F250" s="3">
        <v>0.60610218053069798</v>
      </c>
      <c r="G250" t="str">
        <f t="shared" si="22"/>
        <v>buy</v>
      </c>
      <c r="H250">
        <f t="shared" si="23"/>
        <v>1</v>
      </c>
      <c r="I250" t="str">
        <f t="shared" si="24"/>
        <v>keep</v>
      </c>
      <c r="J250">
        <f t="shared" si="20"/>
        <v>0</v>
      </c>
      <c r="K250">
        <f t="shared" si="21"/>
        <v>0</v>
      </c>
      <c r="L250">
        <f t="shared" si="25"/>
        <v>0</v>
      </c>
      <c r="M250">
        <f>IF(I250="sell",N249+(N249*E250/100),IF(I250="buy",0,M249))</f>
        <v>0</v>
      </c>
      <c r="N250">
        <f>IF(I250="buy",M249,IF(I250="sell",0,IF(AND(I250="keep",N249&lt;&gt;0),N249+(N249*E249/100),N249)))</f>
        <v>1697.0043389420357</v>
      </c>
      <c r="O250">
        <f>O249+(O249*E250/100)</f>
        <v>1750.1213301478579</v>
      </c>
    </row>
    <row r="251" spans="1:15" x14ac:dyDescent="0.25">
      <c r="A251" s="1">
        <v>45433</v>
      </c>
      <c r="B251">
        <v>-0.50125114677587101</v>
      </c>
      <c r="C251">
        <v>0.21211805858791699</v>
      </c>
      <c r="D251">
        <v>0.68572039723260303</v>
      </c>
      <c r="E251">
        <v>0.45662720981363097</v>
      </c>
      <c r="F251" s="3">
        <v>0.16784208351614699</v>
      </c>
      <c r="G251" t="str">
        <f t="shared" si="22"/>
        <v>buy</v>
      </c>
      <c r="H251">
        <f t="shared" si="23"/>
        <v>1</v>
      </c>
      <c r="I251" t="str">
        <f t="shared" si="24"/>
        <v>keep</v>
      </c>
      <c r="J251">
        <f t="shared" si="20"/>
        <v>0</v>
      </c>
      <c r="K251">
        <f t="shared" si="21"/>
        <v>0</v>
      </c>
      <c r="L251">
        <f t="shared" si="25"/>
        <v>0</v>
      </c>
      <c r="M251">
        <f>IF(I251="sell",N250+(N250*E251/100),IF(I251="buy",0,M250))</f>
        <v>0</v>
      </c>
      <c r="N251">
        <f>IF(I251="buy",M250,IF(I251="sell",0,IF(AND(I251="keep",N250&lt;&gt;0),N250+(N250*E250/100),N250)))</f>
        <v>1681.224065716754</v>
      </c>
      <c r="O251">
        <f>O250+(O250*E251/100)</f>
        <v>1758.1128603460652</v>
      </c>
    </row>
    <row r="252" spans="1:15" x14ac:dyDescent="0.25">
      <c r="A252" s="1">
        <v>45434</v>
      </c>
      <c r="B252">
        <v>-1.3420324835978501</v>
      </c>
      <c r="C252">
        <v>-4.5963738743115497E-2</v>
      </c>
      <c r="D252">
        <v>-0.75382515249814397</v>
      </c>
      <c r="E252">
        <v>0.55555521904508898</v>
      </c>
      <c r="F252" s="3">
        <v>-0.28253811668053402</v>
      </c>
      <c r="G252" t="str">
        <f t="shared" si="22"/>
        <v>sell</v>
      </c>
      <c r="H252">
        <f t="shared" si="23"/>
        <v>1</v>
      </c>
      <c r="I252" t="str">
        <f t="shared" si="24"/>
        <v>sell</v>
      </c>
      <c r="J252">
        <f t="shared" si="20"/>
        <v>0</v>
      </c>
      <c r="K252">
        <f t="shared" si="21"/>
        <v>1</v>
      </c>
      <c r="L252">
        <f t="shared" si="25"/>
        <v>1</v>
      </c>
      <c r="M252">
        <f>IF(I252="sell",N251+(N251*E252/100),IF(I252="buy",0,M251))</f>
        <v>1690.5641937576854</v>
      </c>
      <c r="N252">
        <f>IF(I252="buy",M251,IF(I252="sell",0,IF(AND(I252="keep",N251&lt;&gt;0),N251+(N251*E251/100),N251)))</f>
        <v>0</v>
      </c>
      <c r="O252">
        <f>O251+(O251*E252/100)</f>
        <v>1767.8801480984207</v>
      </c>
    </row>
    <row r="253" spans="1:15" x14ac:dyDescent="0.25">
      <c r="A253" s="1">
        <v>45435</v>
      </c>
      <c r="B253">
        <v>-2.2685397739645201</v>
      </c>
      <c r="C253">
        <v>-0.43735751110308602</v>
      </c>
      <c r="D253">
        <v>-2.1058030939394099</v>
      </c>
      <c r="E253">
        <v>-0.50225804285015596</v>
      </c>
      <c r="F253" s="3">
        <v>-0.76907820051354303</v>
      </c>
      <c r="G253" t="str">
        <f t="shared" si="22"/>
        <v>sell</v>
      </c>
      <c r="H253">
        <f t="shared" si="23"/>
        <v>0</v>
      </c>
      <c r="I253" t="str">
        <f t="shared" si="24"/>
        <v>keep</v>
      </c>
      <c r="J253">
        <f t="shared" si="20"/>
        <v>0</v>
      </c>
      <c r="K253">
        <f t="shared" si="21"/>
        <v>0</v>
      </c>
      <c r="L253">
        <f t="shared" si="25"/>
        <v>0</v>
      </c>
      <c r="M253">
        <f>IF(I253="sell",N252+(N252*E253/100),IF(I253="buy",0,M252))</f>
        <v>1690.5641937576854</v>
      </c>
      <c r="N253">
        <f>IF(I253="buy",M252,IF(I253="sell",0,IF(AND(I253="keep",N252&lt;&gt;0),N252+(N252*E252/100),N252)))</f>
        <v>0</v>
      </c>
      <c r="O253">
        <f>O252+(O252*E253/100)</f>
        <v>1759.0008278666451</v>
      </c>
    </row>
    <row r="254" spans="1:15" x14ac:dyDescent="0.25">
      <c r="A254" s="1">
        <v>45436</v>
      </c>
      <c r="B254">
        <v>-0.107066381156317</v>
      </c>
      <c r="C254">
        <v>0.99315419033691998</v>
      </c>
      <c r="D254">
        <v>1.65880145308405</v>
      </c>
      <c r="E254">
        <v>0.30287806304953802</v>
      </c>
      <c r="F254" s="3">
        <v>0.48854162935680701</v>
      </c>
      <c r="G254" t="str">
        <f t="shared" si="22"/>
        <v>buy</v>
      </c>
      <c r="H254">
        <f t="shared" si="23"/>
        <v>0</v>
      </c>
      <c r="I254" t="str">
        <f t="shared" si="24"/>
        <v>buy</v>
      </c>
      <c r="J254">
        <f t="shared" si="20"/>
        <v>1</v>
      </c>
      <c r="K254">
        <f t="shared" si="21"/>
        <v>0</v>
      </c>
      <c r="L254">
        <f t="shared" si="25"/>
        <v>0</v>
      </c>
      <c r="M254">
        <f>IF(I254="sell",N253+(N253*E254/100),IF(I254="buy",0,M253))</f>
        <v>0</v>
      </c>
      <c r="N254">
        <f>IF(I254="buy",M253,IF(I254="sell",0,IF(AND(I254="keep",N253&lt;&gt;0),N253+(N253*E253/100),N253)))</f>
        <v>1690.5641937576854</v>
      </c>
      <c r="O254">
        <f>O253+(O253*E254/100)</f>
        <v>1764.328455503113</v>
      </c>
    </row>
    <row r="255" spans="1:15" x14ac:dyDescent="0.25">
      <c r="A255" s="1">
        <v>45441</v>
      </c>
      <c r="B255">
        <v>-0.63263852974929602</v>
      </c>
      <c r="C255">
        <v>-0.70319764110970895</v>
      </c>
      <c r="D255">
        <v>0.15790979791927501</v>
      </c>
      <c r="E255">
        <v>-0.53017292539185801</v>
      </c>
      <c r="F255" s="3">
        <v>-2.7052095826698101E-2</v>
      </c>
      <c r="G255" t="str">
        <f t="shared" si="22"/>
        <v>keep</v>
      </c>
      <c r="H255">
        <f t="shared" si="23"/>
        <v>0</v>
      </c>
      <c r="I255" t="str">
        <f t="shared" si="24"/>
        <v>keep</v>
      </c>
      <c r="J255">
        <f t="shared" si="20"/>
        <v>0</v>
      </c>
      <c r="K255">
        <f t="shared" si="21"/>
        <v>0</v>
      </c>
      <c r="L255">
        <f t="shared" si="25"/>
        <v>0</v>
      </c>
      <c r="M255">
        <f>IF(I255="sell",N254+(N254*E255/100),IF(I255="buy",0,M254))</f>
        <v>0</v>
      </c>
      <c r="N255">
        <f>IF(I255="buy",M254,IF(I255="sell",0,IF(AND(I255="keep",N254&lt;&gt;0),N254+(N254*E254/100),N254)))</f>
        <v>1695.6845418423477</v>
      </c>
      <c r="O255">
        <f>O254+(O254*E255/100)</f>
        <v>1754.9744637170511</v>
      </c>
    </row>
    <row r="256" spans="1:15" x14ac:dyDescent="0.25">
      <c r="A256" s="1">
        <v>45442</v>
      </c>
      <c r="B256">
        <v>0.111090606391561</v>
      </c>
      <c r="C256">
        <v>-1.0572262732330799</v>
      </c>
      <c r="D256">
        <v>0.52550651843474805</v>
      </c>
      <c r="E256">
        <v>1.2182770371804399</v>
      </c>
      <c r="F256" s="3">
        <v>0.192830938621044</v>
      </c>
      <c r="G256" t="str">
        <f t="shared" si="22"/>
        <v>buy</v>
      </c>
      <c r="H256">
        <f t="shared" si="23"/>
        <v>1</v>
      </c>
      <c r="I256" t="str">
        <f t="shared" si="24"/>
        <v>keep</v>
      </c>
      <c r="J256">
        <f t="shared" ref="J256:J319" si="26">IF(I256="buy",1,0)</f>
        <v>0</v>
      </c>
      <c r="K256">
        <f t="shared" ref="K256:K319" si="27">IF(I256="sell",1,0)</f>
        <v>0</v>
      </c>
      <c r="L256">
        <f t="shared" si="25"/>
        <v>0</v>
      </c>
      <c r="M256">
        <f>IF(I256="sell",N255+(N255*E256/100),IF(I256="buy",0,M255))</f>
        <v>0</v>
      </c>
      <c r="N256">
        <f>IF(I256="buy",M255,IF(I256="sell",0,IF(AND(I256="keep",N255&lt;&gt;0),N255+(N255*E255/100),N255)))</f>
        <v>1686.6944815014447</v>
      </c>
      <c r="O256">
        <f>O255+(O255*E256/100)</f>
        <v>1776.3549146168964</v>
      </c>
    </row>
    <row r="257" spans="1:15" x14ac:dyDescent="0.25">
      <c r="A257" s="1">
        <v>45443</v>
      </c>
      <c r="B257">
        <v>-0.85364295674743496</v>
      </c>
      <c r="C257">
        <v>-1.08409432400202E-2</v>
      </c>
      <c r="D257">
        <v>0.50186282169923901</v>
      </c>
      <c r="E257">
        <v>1.1283903386113401</v>
      </c>
      <c r="F257" s="3">
        <v>4.80354154248918E-2</v>
      </c>
      <c r="G257" t="str">
        <f t="shared" si="22"/>
        <v>keep</v>
      </c>
      <c r="H257">
        <f t="shared" si="23"/>
        <v>1</v>
      </c>
      <c r="I257" t="str">
        <f t="shared" si="24"/>
        <v>keep</v>
      </c>
      <c r="J257">
        <f t="shared" si="26"/>
        <v>0</v>
      </c>
      <c r="K257">
        <f t="shared" si="27"/>
        <v>0</v>
      </c>
      <c r="L257">
        <f t="shared" si="25"/>
        <v>0</v>
      </c>
      <c r="M257">
        <f>IF(I257="sell",N256+(N256*E257/100),IF(I257="buy",0,M256))</f>
        <v>0</v>
      </c>
      <c r="N257">
        <f>IF(I257="buy",M256,IF(I257="sell",0,IF(AND(I257="keep",N256&lt;&gt;0),N256+(N256*E256/100),N256)))</f>
        <v>1707.2430930569665</v>
      </c>
      <c r="O257">
        <f>O256+(O256*E257/100)</f>
        <v>1796.3991318528813</v>
      </c>
    </row>
    <row r="258" spans="1:15" x14ac:dyDescent="0.25">
      <c r="A258" s="1">
        <v>45446</v>
      </c>
      <c r="B258">
        <v>1.0202848296901199</v>
      </c>
      <c r="C258">
        <v>0.346989942328157</v>
      </c>
      <c r="D258">
        <v>0.92587679694429104</v>
      </c>
      <c r="E258">
        <v>0.61988324962158803</v>
      </c>
      <c r="F258" s="3">
        <v>0.63125051265033805</v>
      </c>
      <c r="G258" t="str">
        <f t="shared" si="22"/>
        <v>buy</v>
      </c>
      <c r="H258">
        <f t="shared" si="23"/>
        <v>0</v>
      </c>
      <c r="I258" t="str">
        <f t="shared" si="24"/>
        <v>keep</v>
      </c>
      <c r="J258">
        <f t="shared" si="26"/>
        <v>0</v>
      </c>
      <c r="K258">
        <f t="shared" si="27"/>
        <v>0</v>
      </c>
      <c r="L258">
        <f t="shared" si="25"/>
        <v>0</v>
      </c>
      <c r="M258">
        <f>IF(I258="sell",N257+(N257*E258/100),IF(I258="buy",0,M257))</f>
        <v>0</v>
      </c>
      <c r="N258">
        <f>IF(I258="buy",M257,IF(I258="sell",0,IF(AND(I258="keep",N257&lt;&gt;0),N257+(N257*E257/100),N257)))</f>
        <v>1726.5074591756306</v>
      </c>
      <c r="O258">
        <f>O257+(O257*E258/100)</f>
        <v>1807.5347091675849</v>
      </c>
    </row>
    <row r="259" spans="1:15" x14ac:dyDescent="0.25">
      <c r="A259" s="1">
        <v>45447</v>
      </c>
      <c r="B259">
        <v>-0.89917739615388204</v>
      </c>
      <c r="C259">
        <v>0.28960392167034499</v>
      </c>
      <c r="D259">
        <v>0.164922601577632</v>
      </c>
      <c r="E259">
        <v>-0.27107423361385402</v>
      </c>
      <c r="F259" s="3">
        <v>2.71749938642879E-2</v>
      </c>
      <c r="G259" t="str">
        <f t="shared" ref="G259:G322" si="28">IF(F259&gt;$R$2,"buy",IF(F259&lt;-$R$3,"sell","keep"))</f>
        <v>keep</v>
      </c>
      <c r="H259">
        <f t="shared" ref="H259:H322" si="29">IF(F259&lt;&gt;"",IF(OR(AND(F259&lt;0,E260&lt;0),AND(F259&gt;0,E260&gt;0)),1,0),"")</f>
        <v>0</v>
      </c>
      <c r="I259" t="str">
        <f t="shared" ref="I259:I322" si="30">IF(AND(G259="sell",N258&lt;&gt;0),"sell",IF(AND(G259="buy",M258&lt;&gt;0),"buy","keep"))</f>
        <v>keep</v>
      </c>
      <c r="J259">
        <f t="shared" si="26"/>
        <v>0</v>
      </c>
      <c r="K259">
        <f t="shared" si="27"/>
        <v>0</v>
      </c>
      <c r="L259">
        <f t="shared" ref="L259:L322" si="31">IF(AND(H259=1,OR(J259=1,K259=1)),1,0)</f>
        <v>0</v>
      </c>
      <c r="M259">
        <f>IF(I259="sell",N258+(N258*E259/100),IF(I259="buy",0,M258))</f>
        <v>0</v>
      </c>
      <c r="N259">
        <f>IF(I259="buy",M258,IF(I259="sell",0,IF(AND(I259="keep",N258&lt;&gt;0),N258+(N258*E258/100),N258)))</f>
        <v>1737.2097897185276</v>
      </c>
      <c r="O259">
        <f>O258+(O258*E259/100)</f>
        <v>1802.6349483074046</v>
      </c>
    </row>
    <row r="260" spans="1:15" x14ac:dyDescent="0.25">
      <c r="A260" s="1">
        <v>45448</v>
      </c>
      <c r="B260">
        <v>1.2298472438722901</v>
      </c>
      <c r="C260">
        <v>2.0381356295984698</v>
      </c>
      <c r="D260">
        <v>0.78208855792156695</v>
      </c>
      <c r="E260">
        <v>-0.14826326316091901</v>
      </c>
      <c r="F260" s="3">
        <v>0.81405931147726895</v>
      </c>
      <c r="G260" t="str">
        <f t="shared" si="28"/>
        <v>buy</v>
      </c>
      <c r="H260">
        <f t="shared" si="29"/>
        <v>0</v>
      </c>
      <c r="I260" t="str">
        <f t="shared" si="30"/>
        <v>keep</v>
      </c>
      <c r="J260">
        <f t="shared" si="26"/>
        <v>0</v>
      </c>
      <c r="K260">
        <f t="shared" si="27"/>
        <v>0</v>
      </c>
      <c r="L260">
        <f t="shared" si="31"/>
        <v>0</v>
      </c>
      <c r="M260">
        <f>IF(I260="sell",N259+(N259*E260/100),IF(I260="buy",0,M259))</f>
        <v>0</v>
      </c>
      <c r="N260">
        <f>IF(I260="buy",M259,IF(I260="sell",0,IF(AND(I260="keep",N259&lt;&gt;0),N259+(N259*E259/100),N259)))</f>
        <v>1732.5006615947832</v>
      </c>
      <c r="O260">
        <f>O259+(O259*E260/100)</f>
        <v>1799.9623029101649</v>
      </c>
    </row>
    <row r="261" spans="1:15" x14ac:dyDescent="0.25">
      <c r="A261" s="1">
        <v>45449</v>
      </c>
      <c r="B261">
        <v>0.68815897794676195</v>
      </c>
      <c r="C261">
        <v>-7.2820021781361197E-2</v>
      </c>
      <c r="D261">
        <v>-0.70965045401393201</v>
      </c>
      <c r="E261">
        <v>-0.81662412694644104</v>
      </c>
      <c r="F261" s="3">
        <v>0.27329077634750298</v>
      </c>
      <c r="G261" t="str">
        <f t="shared" si="28"/>
        <v>buy</v>
      </c>
      <c r="H261">
        <f t="shared" si="29"/>
        <v>0</v>
      </c>
      <c r="I261" t="str">
        <f t="shared" si="30"/>
        <v>keep</v>
      </c>
      <c r="J261">
        <f t="shared" si="26"/>
        <v>0</v>
      </c>
      <c r="K261">
        <f t="shared" si="27"/>
        <v>0</v>
      </c>
      <c r="L261">
        <f t="shared" si="31"/>
        <v>0</v>
      </c>
      <c r="M261">
        <f>IF(I261="sell",N260+(N260*E261/100),IF(I261="buy",0,M260))</f>
        <v>0</v>
      </c>
      <c r="N261">
        <f>IF(I261="buy",M260,IF(I261="sell",0,IF(AND(I261="keep",N260&lt;&gt;0),N260+(N260*E260/100),N260)))</f>
        <v>1729.9319995796182</v>
      </c>
      <c r="O261">
        <f>O260+(O260*E261/100)</f>
        <v>1785.2633764686598</v>
      </c>
    </row>
    <row r="262" spans="1:15" x14ac:dyDescent="0.25">
      <c r="A262" s="1">
        <v>45450</v>
      </c>
      <c r="B262">
        <v>-2.74649184977384</v>
      </c>
      <c r="C262">
        <v>-0.10640887850299401</v>
      </c>
      <c r="D262">
        <v>1.23920777341275</v>
      </c>
      <c r="E262">
        <v>-0.97306370237791795</v>
      </c>
      <c r="F262" s="3">
        <v>-0.30286182636864001</v>
      </c>
      <c r="G262" t="str">
        <f t="shared" si="28"/>
        <v>sell</v>
      </c>
      <c r="H262">
        <f t="shared" si="29"/>
        <v>1</v>
      </c>
      <c r="I262" t="str">
        <f t="shared" si="30"/>
        <v>sell</v>
      </c>
      <c r="J262">
        <f t="shared" si="26"/>
        <v>0</v>
      </c>
      <c r="K262">
        <f t="shared" si="27"/>
        <v>1</v>
      </c>
      <c r="L262">
        <f t="shared" si="31"/>
        <v>1</v>
      </c>
      <c r="M262">
        <f>IF(I262="sell",N261+(N261*E262/100),IF(I262="buy",0,M261))</f>
        <v>1713.0986592158883</v>
      </c>
      <c r="N262">
        <f>IF(I262="buy",M261,IF(I262="sell",0,IF(AND(I262="keep",N261&lt;&gt;0),N261+(N261*E261/100),N261)))</f>
        <v>0</v>
      </c>
      <c r="O262">
        <f>O261+(O261*E262/100)</f>
        <v>1767.8916265603968</v>
      </c>
    </row>
    <row r="263" spans="1:15" x14ac:dyDescent="0.25">
      <c r="A263" s="1">
        <v>45453</v>
      </c>
      <c r="B263">
        <v>0.108450462127107</v>
      </c>
      <c r="C263">
        <v>0.38798431739532901</v>
      </c>
      <c r="D263">
        <v>-1.9147828209247899</v>
      </c>
      <c r="E263">
        <v>-1.08338978926275</v>
      </c>
      <c r="F263" s="3">
        <v>2.1535483566445502E-3</v>
      </c>
      <c r="G263" t="str">
        <f t="shared" si="28"/>
        <v>keep</v>
      </c>
      <c r="H263">
        <f t="shared" si="29"/>
        <v>0</v>
      </c>
      <c r="I263" t="str">
        <f t="shared" si="30"/>
        <v>keep</v>
      </c>
      <c r="J263">
        <f t="shared" si="26"/>
        <v>0</v>
      </c>
      <c r="K263">
        <f t="shared" si="27"/>
        <v>0</v>
      </c>
      <c r="L263">
        <f t="shared" si="31"/>
        <v>0</v>
      </c>
      <c r="M263">
        <f>IF(I263="sell",N262+(N262*E263/100),IF(I263="buy",0,M262))</f>
        <v>1713.0986592158883</v>
      </c>
      <c r="N263">
        <f>IF(I263="buy",M262,IF(I263="sell",0,IF(AND(I263="keep",N262&lt;&gt;0),N262+(N262*E262/100),N262)))</f>
        <v>0</v>
      </c>
      <c r="O263">
        <f>O262+(O262*E263/100)</f>
        <v>1748.7384691930104</v>
      </c>
    </row>
    <row r="264" spans="1:15" x14ac:dyDescent="0.25">
      <c r="A264" s="1">
        <v>45454</v>
      </c>
      <c r="B264">
        <v>-8.6645220828461995E-3</v>
      </c>
      <c r="C264">
        <v>0.71041735547725504</v>
      </c>
      <c r="D264">
        <v>7.2649034506672496</v>
      </c>
      <c r="E264">
        <v>-4.1008649424298298</v>
      </c>
      <c r="F264" s="3">
        <v>1.42156975300248</v>
      </c>
      <c r="G264" t="str">
        <f t="shared" si="28"/>
        <v>buy</v>
      </c>
      <c r="H264">
        <f t="shared" si="29"/>
        <v>1</v>
      </c>
      <c r="I264" t="str">
        <f t="shared" si="30"/>
        <v>buy</v>
      </c>
      <c r="J264">
        <f t="shared" si="26"/>
        <v>1</v>
      </c>
      <c r="K264">
        <f t="shared" si="27"/>
        <v>0</v>
      </c>
      <c r="L264">
        <f t="shared" si="31"/>
        <v>1</v>
      </c>
      <c r="M264">
        <f>IF(I264="sell",N263+(N263*E264/100),IF(I264="buy",0,M263))</f>
        <v>0</v>
      </c>
      <c r="N264">
        <f>IF(I264="buy",M263,IF(I264="sell",0,IF(AND(I264="keep",N263&lt;&gt;0),N263+(N263*E263/100),N263)))</f>
        <v>1713.0986592158883</v>
      </c>
      <c r="O264">
        <f>O263+(O263*E264/100)</f>
        <v>1677.0250663750901</v>
      </c>
    </row>
    <row r="265" spans="1:15" x14ac:dyDescent="0.25">
      <c r="A265" s="1">
        <v>45455</v>
      </c>
      <c r="B265">
        <v>1.23510292524378</v>
      </c>
      <c r="C265">
        <v>1.3274212118168101</v>
      </c>
      <c r="D265">
        <v>2.8578564967569098</v>
      </c>
      <c r="E265">
        <v>1.54050659967586</v>
      </c>
      <c r="F265" s="3">
        <v>1.04450467210779</v>
      </c>
      <c r="G265" t="str">
        <f t="shared" si="28"/>
        <v>buy</v>
      </c>
      <c r="H265">
        <f t="shared" si="29"/>
        <v>0</v>
      </c>
      <c r="I265" t="str">
        <f t="shared" si="30"/>
        <v>keep</v>
      </c>
      <c r="J265">
        <f t="shared" si="26"/>
        <v>0</v>
      </c>
      <c r="K265">
        <f t="shared" si="27"/>
        <v>0</v>
      </c>
      <c r="L265">
        <f t="shared" si="31"/>
        <v>0</v>
      </c>
      <c r="M265">
        <f>IF(I265="sell",N264+(N264*E265/100),IF(I265="buy",0,M264))</f>
        <v>0</v>
      </c>
      <c r="N265">
        <f>IF(I265="buy",M264,IF(I265="sell",0,IF(AND(I265="keep",N264&lt;&gt;0),N264+(N264*E264/100),N264)))</f>
        <v>1642.8467968708685</v>
      </c>
      <c r="O265">
        <f>O264+(O264*E265/100)</f>
        <v>1702.8597482008167</v>
      </c>
    </row>
    <row r="266" spans="1:15" x14ac:dyDescent="0.25">
      <c r="A266" s="1">
        <v>45456</v>
      </c>
      <c r="B266">
        <v>-1.5325363368204199</v>
      </c>
      <c r="C266">
        <v>0.57405190277670604</v>
      </c>
      <c r="D266">
        <v>0.549101932318518</v>
      </c>
      <c r="E266">
        <v>-1.09861105838996</v>
      </c>
      <c r="F266" s="3">
        <v>-7.5963711473780504E-2</v>
      </c>
      <c r="G266" t="str">
        <f t="shared" si="28"/>
        <v>keep</v>
      </c>
      <c r="H266">
        <f t="shared" si="29"/>
        <v>1</v>
      </c>
      <c r="I266" t="str">
        <f t="shared" si="30"/>
        <v>keep</v>
      </c>
      <c r="J266">
        <f t="shared" si="26"/>
        <v>0</v>
      </c>
      <c r="K266">
        <f t="shared" si="27"/>
        <v>0</v>
      </c>
      <c r="L266">
        <f t="shared" si="31"/>
        <v>0</v>
      </c>
      <c r="M266">
        <f>IF(I266="sell",N265+(N265*E266/100),IF(I266="buy",0,M265))</f>
        <v>0</v>
      </c>
      <c r="N266">
        <f>IF(I266="buy",M265,IF(I266="sell",0,IF(AND(I266="keep",N265&lt;&gt;0),N265+(N265*E265/100),N265)))</f>
        <v>1668.1549601992276</v>
      </c>
      <c r="O266">
        <f>O265+(O265*E266/100)</f>
        <v>1684.1519426982111</v>
      </c>
    </row>
    <row r="267" spans="1:15" x14ac:dyDescent="0.25">
      <c r="A267" s="1">
        <v>45457</v>
      </c>
      <c r="B267">
        <v>1.35640169699071</v>
      </c>
      <c r="C267">
        <v>0.42336005717829001</v>
      </c>
      <c r="D267">
        <v>-0.81683877928372395</v>
      </c>
      <c r="E267">
        <v>-4.1258918268178499</v>
      </c>
      <c r="F267" s="3">
        <v>0.42676301178750198</v>
      </c>
      <c r="G267" t="str">
        <f t="shared" si="28"/>
        <v>buy</v>
      </c>
      <c r="H267">
        <f t="shared" si="29"/>
        <v>0</v>
      </c>
      <c r="I267" t="str">
        <f t="shared" si="30"/>
        <v>keep</v>
      </c>
      <c r="J267">
        <f t="shared" si="26"/>
        <v>0</v>
      </c>
      <c r="K267">
        <f t="shared" si="27"/>
        <v>0</v>
      </c>
      <c r="L267">
        <f t="shared" si="31"/>
        <v>0</v>
      </c>
      <c r="M267">
        <f>IF(I267="sell",N266+(N266*E267/100),IF(I267="buy",0,M266))</f>
        <v>0</v>
      </c>
      <c r="N267">
        <f>IF(I267="buy",M266,IF(I267="sell",0,IF(AND(I267="keep",N266&lt;&gt;0),N266+(N266*E266/100),N266)))</f>
        <v>1649.8284253353984</v>
      </c>
      <c r="O267">
        <f>O266+(O266*E267/100)</f>
        <v>1614.6656553432315</v>
      </c>
    </row>
    <row r="268" spans="1:15" x14ac:dyDescent="0.25">
      <c r="A268" s="1">
        <v>45460</v>
      </c>
      <c r="B268">
        <v>-0.81496100179550002</v>
      </c>
      <c r="C268">
        <v>1.23576643249461</v>
      </c>
      <c r="D268">
        <v>1.96715539553782</v>
      </c>
      <c r="E268">
        <v>-2.6758748221968802</v>
      </c>
      <c r="F268" s="3">
        <v>0.31193730764733202</v>
      </c>
      <c r="G268" t="str">
        <f t="shared" si="28"/>
        <v>buy</v>
      </c>
      <c r="H268">
        <f t="shared" si="29"/>
        <v>1</v>
      </c>
      <c r="I268" t="str">
        <f t="shared" si="30"/>
        <v>keep</v>
      </c>
      <c r="J268">
        <f t="shared" si="26"/>
        <v>0</v>
      </c>
      <c r="K268">
        <f t="shared" si="27"/>
        <v>0</v>
      </c>
      <c r="L268">
        <f t="shared" si="31"/>
        <v>0</v>
      </c>
      <c r="M268">
        <f>IF(I268="sell",N267+(N267*E268/100),IF(I268="buy",0,M267))</f>
        <v>0</v>
      </c>
      <c r="N268">
        <f>IF(I268="buy",M267,IF(I268="sell",0,IF(AND(I268="keep",N267&lt;&gt;0),N267+(N267*E267/100),N267)))</f>
        <v>1581.7582891779675</v>
      </c>
      <c r="O268">
        <f>O267+(O267*E268/100)</f>
        <v>1571.4592236092417</v>
      </c>
    </row>
    <row r="269" spans="1:15" x14ac:dyDescent="0.25">
      <c r="A269" s="1">
        <v>45461</v>
      </c>
      <c r="B269">
        <v>0.77841207231310605</v>
      </c>
      <c r="C269">
        <v>3.0696134956231799E-2</v>
      </c>
      <c r="D269">
        <v>-1.09844849219998</v>
      </c>
      <c r="E269">
        <v>2.5510324334026402</v>
      </c>
      <c r="F269" s="3">
        <v>0.15872911181799401</v>
      </c>
      <c r="G269" t="str">
        <f t="shared" si="28"/>
        <v>buy</v>
      </c>
      <c r="H269">
        <f t="shared" si="29"/>
        <v>0</v>
      </c>
      <c r="I269" t="str">
        <f t="shared" si="30"/>
        <v>keep</v>
      </c>
      <c r="J269">
        <f t="shared" si="26"/>
        <v>0</v>
      </c>
      <c r="K269">
        <f t="shared" si="27"/>
        <v>0</v>
      </c>
      <c r="L269">
        <f t="shared" si="31"/>
        <v>0</v>
      </c>
      <c r="M269">
        <f>IF(I269="sell",N268+(N268*E269/100),IF(I269="buy",0,M268))</f>
        <v>0</v>
      </c>
      <c r="N269">
        <f>IF(I269="buy",M268,IF(I269="sell",0,IF(AND(I269="keep",N268&lt;&gt;0),N268+(N268*E268/100),N268)))</f>
        <v>1539.4324173698421</v>
      </c>
      <c r="O269">
        <f>O268+(O268*E269/100)</f>
        <v>1611.5476580812108</v>
      </c>
    </row>
    <row r="270" spans="1:15" x14ac:dyDescent="0.25">
      <c r="A270" s="1">
        <v>45464</v>
      </c>
      <c r="B270">
        <v>-1.5889262345370101</v>
      </c>
      <c r="C270">
        <v>-0.26260785679832399</v>
      </c>
      <c r="D270">
        <v>-1.0444442897716499</v>
      </c>
      <c r="E270">
        <v>-0.75634255852613497</v>
      </c>
      <c r="F270" s="3">
        <v>-0.41972616995223999</v>
      </c>
      <c r="G270" t="str">
        <f t="shared" si="28"/>
        <v>sell</v>
      </c>
      <c r="H270">
        <f t="shared" si="29"/>
        <v>0</v>
      </c>
      <c r="I270" t="str">
        <f t="shared" si="30"/>
        <v>sell</v>
      </c>
      <c r="J270">
        <f t="shared" si="26"/>
        <v>0</v>
      </c>
      <c r="K270">
        <f t="shared" si="27"/>
        <v>1</v>
      </c>
      <c r="L270">
        <f t="shared" si="31"/>
        <v>0</v>
      </c>
      <c r="M270">
        <f>IF(I270="sell",N269+(N269*E270/100),IF(I270="buy",0,M269))</f>
        <v>1527.7890348375263</v>
      </c>
      <c r="N270">
        <f>IF(I270="buy",M269,IF(I270="sell",0,IF(AND(I270="keep",N269&lt;&gt;0),N269+(N269*E269/100),N269)))</f>
        <v>0</v>
      </c>
      <c r="O270">
        <f>O269+(O269*E270/100)</f>
        <v>1599.3588372922113</v>
      </c>
    </row>
    <row r="271" spans="1:15" x14ac:dyDescent="0.25">
      <c r="A271" s="1">
        <v>45467</v>
      </c>
      <c r="B271">
        <v>0.58712218224881096</v>
      </c>
      <c r="C271">
        <v>-1.14622142997357</v>
      </c>
      <c r="D271">
        <v>0.31326792696462202</v>
      </c>
      <c r="E271">
        <v>1.52421339161581</v>
      </c>
      <c r="F271" s="3">
        <v>0.30194262174408398</v>
      </c>
      <c r="G271" t="str">
        <f t="shared" si="28"/>
        <v>buy</v>
      </c>
      <c r="H271">
        <f t="shared" si="29"/>
        <v>0</v>
      </c>
      <c r="I271" t="str">
        <f t="shared" si="30"/>
        <v>buy</v>
      </c>
      <c r="J271">
        <f t="shared" si="26"/>
        <v>1</v>
      </c>
      <c r="K271">
        <f t="shared" si="27"/>
        <v>0</v>
      </c>
      <c r="L271">
        <f t="shared" si="31"/>
        <v>0</v>
      </c>
      <c r="M271">
        <f>IF(I271="sell",N270+(N270*E271/100),IF(I271="buy",0,M270))</f>
        <v>0</v>
      </c>
      <c r="N271">
        <f>IF(I271="buy",M270,IF(I271="sell",0,IF(AND(I271="keep",N270&lt;&gt;0),N270+(N270*E270/100),N270)))</f>
        <v>1527.7890348375263</v>
      </c>
      <c r="O271">
        <f>O270+(O270*E271/100)</f>
        <v>1623.73647887021</v>
      </c>
    </row>
    <row r="272" spans="1:15" x14ac:dyDescent="0.25">
      <c r="A272" s="1">
        <v>45468</v>
      </c>
      <c r="B272">
        <v>-0.57510310488196803</v>
      </c>
      <c r="C272">
        <v>1.1631124445329299</v>
      </c>
      <c r="D272">
        <v>0.446819721623747</v>
      </c>
      <c r="E272">
        <v>-0.26808467630219301</v>
      </c>
      <c r="F272" s="3">
        <v>0.15808314916876501</v>
      </c>
      <c r="G272" t="str">
        <f t="shared" si="28"/>
        <v>buy</v>
      </c>
      <c r="H272">
        <f t="shared" si="29"/>
        <v>0</v>
      </c>
      <c r="I272" t="str">
        <f t="shared" si="30"/>
        <v>keep</v>
      </c>
      <c r="J272">
        <f t="shared" si="26"/>
        <v>0</v>
      </c>
      <c r="K272">
        <f t="shared" si="27"/>
        <v>0</v>
      </c>
      <c r="L272">
        <f t="shared" si="31"/>
        <v>0</v>
      </c>
      <c r="M272">
        <f>IF(I272="sell",N271+(N271*E272/100),IF(I272="buy",0,M271))</f>
        <v>0</v>
      </c>
      <c r="N272">
        <f>IF(I272="buy",M271,IF(I272="sell",0,IF(AND(I272="keep",N271&lt;&gt;0),N271+(N271*E271/100),N271)))</f>
        <v>1551.0757999021578</v>
      </c>
      <c r="O272">
        <f>O271+(O271*E272/100)</f>
        <v>1619.3834901868302</v>
      </c>
    </row>
    <row r="273" spans="1:15" x14ac:dyDescent="0.25">
      <c r="A273" s="1">
        <v>45469</v>
      </c>
      <c r="B273">
        <v>-0.75110704268634898</v>
      </c>
      <c r="C273">
        <v>0.253386073273276</v>
      </c>
      <c r="D273">
        <v>1.9993270718241001</v>
      </c>
      <c r="E273">
        <v>-2.2849579076237401</v>
      </c>
      <c r="F273" s="3">
        <v>0.33039606106291602</v>
      </c>
      <c r="G273" t="str">
        <f t="shared" si="28"/>
        <v>buy</v>
      </c>
      <c r="H273">
        <f t="shared" si="29"/>
        <v>1</v>
      </c>
      <c r="I273" t="str">
        <f t="shared" si="30"/>
        <v>keep</v>
      </c>
      <c r="J273">
        <f t="shared" si="26"/>
        <v>0</v>
      </c>
      <c r="K273">
        <f t="shared" si="27"/>
        <v>0</v>
      </c>
      <c r="L273">
        <f t="shared" si="31"/>
        <v>0</v>
      </c>
      <c r="M273">
        <f>IF(I273="sell",N272+(N272*E273/100),IF(I273="buy",0,M272))</f>
        <v>0</v>
      </c>
      <c r="N273">
        <f>IF(I273="buy",M272,IF(I273="sell",0,IF(AND(I273="keep",N272&lt;&gt;0),N272+(N272*E272/100),N272)))</f>
        <v>1546.9176033647884</v>
      </c>
      <c r="O273">
        <f>O272+(O272*E273/100)</f>
        <v>1582.3812590730529</v>
      </c>
    </row>
    <row r="274" spans="1:15" x14ac:dyDescent="0.25">
      <c r="A274" s="1">
        <v>45470</v>
      </c>
      <c r="B274">
        <v>1.1003848888927601</v>
      </c>
      <c r="C274">
        <v>0.1922860512366</v>
      </c>
      <c r="D274">
        <v>0.39859462436833099</v>
      </c>
      <c r="E274">
        <v>1.1554416561902301</v>
      </c>
      <c r="F274" s="3">
        <v>0.47912209444953002</v>
      </c>
      <c r="G274" t="str">
        <f t="shared" si="28"/>
        <v>buy</v>
      </c>
      <c r="H274">
        <f t="shared" si="29"/>
        <v>0</v>
      </c>
      <c r="I274" t="str">
        <f t="shared" si="30"/>
        <v>keep</v>
      </c>
      <c r="J274">
        <f t="shared" si="26"/>
        <v>0</v>
      </c>
      <c r="K274">
        <f t="shared" si="27"/>
        <v>0</v>
      </c>
      <c r="L274">
        <f t="shared" si="31"/>
        <v>0</v>
      </c>
      <c r="M274">
        <f>IF(I274="sell",N273+(N273*E274/100),IF(I274="buy",0,M273))</f>
        <v>0</v>
      </c>
      <c r="N274">
        <f>IF(I274="buy",M273,IF(I274="sell",0,IF(AND(I274="keep",N273&lt;&gt;0),N273+(N273*E273/100),N273)))</f>
        <v>1511.571187262281</v>
      </c>
      <c r="O274">
        <f>O273+(O273*E274/100)</f>
        <v>1600.6647513001303</v>
      </c>
    </row>
    <row r="275" spans="1:15" x14ac:dyDescent="0.25">
      <c r="A275" s="1">
        <v>45471</v>
      </c>
      <c r="B275">
        <v>0.137661913180253</v>
      </c>
      <c r="C275">
        <v>-0.53645964467172702</v>
      </c>
      <c r="D275">
        <v>-1.6254106722291799</v>
      </c>
      <c r="E275">
        <v>-2.7202491235023201E-2</v>
      </c>
      <c r="F275" s="3">
        <v>-0.11594736880586599</v>
      </c>
      <c r="G275" t="str">
        <f t="shared" si="28"/>
        <v>keep</v>
      </c>
      <c r="H275">
        <f t="shared" si="29"/>
        <v>0</v>
      </c>
      <c r="I275" t="str">
        <f t="shared" si="30"/>
        <v>keep</v>
      </c>
      <c r="J275">
        <f t="shared" si="26"/>
        <v>0</v>
      </c>
      <c r="K275">
        <f t="shared" si="27"/>
        <v>0</v>
      </c>
      <c r="L275">
        <f t="shared" si="31"/>
        <v>0</v>
      </c>
      <c r="M275">
        <f>IF(I275="sell",N274+(N274*E275/100),IF(I275="buy",0,M274))</f>
        <v>0</v>
      </c>
      <c r="N275">
        <f>IF(I275="buy",M274,IF(I275="sell",0,IF(AND(I275="keep",N274&lt;&gt;0),N274+(N274*E274/100),N274)))</f>
        <v>1529.0365104228786</v>
      </c>
      <c r="O275">
        <f>O274+(O274*E275/100)</f>
        <v>1600.2293306114559</v>
      </c>
    </row>
    <row r="276" spans="1:15" x14ac:dyDescent="0.25">
      <c r="A276" s="1">
        <v>45474</v>
      </c>
      <c r="B276">
        <v>-4.2897932602813998E-3</v>
      </c>
      <c r="C276">
        <v>0.65717838987722199</v>
      </c>
      <c r="D276">
        <v>2.9104583972340201</v>
      </c>
      <c r="E276">
        <v>1.03373667848989</v>
      </c>
      <c r="F276" s="3">
        <v>0.67373761604078397</v>
      </c>
      <c r="G276" t="str">
        <f t="shared" si="28"/>
        <v>buy</v>
      </c>
      <c r="H276">
        <f t="shared" si="29"/>
        <v>1</v>
      </c>
      <c r="I276" t="str">
        <f t="shared" si="30"/>
        <v>keep</v>
      </c>
      <c r="J276">
        <f t="shared" si="26"/>
        <v>0</v>
      </c>
      <c r="K276">
        <f t="shared" si="27"/>
        <v>0</v>
      </c>
      <c r="L276">
        <f t="shared" si="31"/>
        <v>0</v>
      </c>
      <c r="M276">
        <f>IF(I276="sell",N275+(N275*E276/100),IF(I276="buy",0,M275))</f>
        <v>0</v>
      </c>
      <c r="N276">
        <f>IF(I276="buy",M275,IF(I276="sell",0,IF(AND(I276="keep",N275&lt;&gt;0),N275+(N275*E275/100),N275)))</f>
        <v>1528.6205744001504</v>
      </c>
      <c r="O276">
        <f>O275+(O275*E276/100)</f>
        <v>1616.7714881419397</v>
      </c>
    </row>
    <row r="277" spans="1:15" x14ac:dyDescent="0.25">
      <c r="A277" s="1">
        <v>45475</v>
      </c>
      <c r="B277">
        <v>-0.19763264578318501</v>
      </c>
      <c r="C277">
        <v>1.0078119200615601</v>
      </c>
      <c r="D277">
        <v>1.6239944433025399</v>
      </c>
      <c r="E277">
        <v>1.2116372894174201</v>
      </c>
      <c r="F277" s="3">
        <v>0.42660647534136498</v>
      </c>
      <c r="G277" t="str">
        <f t="shared" si="28"/>
        <v>buy</v>
      </c>
      <c r="H277">
        <f t="shared" si="29"/>
        <v>1</v>
      </c>
      <c r="I277" t="str">
        <f t="shared" si="30"/>
        <v>keep</v>
      </c>
      <c r="J277">
        <f t="shared" si="26"/>
        <v>0</v>
      </c>
      <c r="K277">
        <f t="shared" si="27"/>
        <v>0</v>
      </c>
      <c r="L277">
        <f t="shared" si="31"/>
        <v>0</v>
      </c>
      <c r="M277">
        <f>IF(I277="sell",N276+(N276*E277/100),IF(I277="buy",0,M276))</f>
        <v>0</v>
      </c>
      <c r="N277">
        <f>IF(I277="buy",M276,IF(I277="sell",0,IF(AND(I277="keep",N276&lt;&gt;0),N276+(N276*E276/100),N276)))</f>
        <v>1544.4224859526676</v>
      </c>
      <c r="O277">
        <f>O276+(O276*E277/100)</f>
        <v>1636.3608943769364</v>
      </c>
    </row>
    <row r="278" spans="1:15" x14ac:dyDescent="0.25">
      <c r="A278" s="1">
        <v>45476</v>
      </c>
      <c r="B278">
        <v>1.58416051778411</v>
      </c>
      <c r="C278">
        <v>0.87318203786654802</v>
      </c>
      <c r="D278">
        <v>0.58110376377671302</v>
      </c>
      <c r="E278">
        <v>1.6493698740684</v>
      </c>
      <c r="F278" s="3">
        <v>0.64312114418280297</v>
      </c>
      <c r="G278" t="str">
        <f t="shared" si="28"/>
        <v>buy</v>
      </c>
      <c r="H278">
        <f t="shared" si="29"/>
        <v>0</v>
      </c>
      <c r="I278" t="str">
        <f t="shared" si="30"/>
        <v>keep</v>
      </c>
      <c r="J278">
        <f t="shared" si="26"/>
        <v>0</v>
      </c>
      <c r="K278">
        <f t="shared" si="27"/>
        <v>0</v>
      </c>
      <c r="L278">
        <f t="shared" si="31"/>
        <v>0</v>
      </c>
      <c r="M278">
        <f>IF(I278="sell",N277+(N277*E278/100),IF(I278="buy",0,M277))</f>
        <v>0</v>
      </c>
      <c r="N278">
        <f>IF(I278="buy",M277,IF(I278="sell",0,IF(AND(I278="keep",N277&lt;&gt;0),N277+(N277*E277/100),N277)))</f>
        <v>1563.1352846986176</v>
      </c>
      <c r="O278">
        <f>O277+(O277*E278/100)</f>
        <v>1663.3505379998257</v>
      </c>
    </row>
    <row r="279" spans="1:15" x14ac:dyDescent="0.25">
      <c r="A279" s="1">
        <v>45481</v>
      </c>
      <c r="B279">
        <v>-1.39418249228071</v>
      </c>
      <c r="C279">
        <v>0.233270045683764</v>
      </c>
      <c r="D279">
        <v>0.65388387569698103</v>
      </c>
      <c r="E279">
        <v>-0.26288006157618699</v>
      </c>
      <c r="F279" s="3">
        <v>-1.57509631141034E-2</v>
      </c>
      <c r="G279" t="str">
        <f t="shared" si="28"/>
        <v>keep</v>
      </c>
      <c r="H279">
        <f t="shared" si="29"/>
        <v>1</v>
      </c>
      <c r="I279" t="str">
        <f t="shared" si="30"/>
        <v>keep</v>
      </c>
      <c r="J279">
        <f t="shared" si="26"/>
        <v>0</v>
      </c>
      <c r="K279">
        <f t="shared" si="27"/>
        <v>0</v>
      </c>
      <c r="L279">
        <f t="shared" si="31"/>
        <v>0</v>
      </c>
      <c r="M279">
        <f>IF(I279="sell",N278+(N278*E279/100),IF(I279="buy",0,M278))</f>
        <v>0</v>
      </c>
      <c r="N279">
        <f>IF(I279="buy",M278,IF(I279="sell",0,IF(AND(I279="keep",N278&lt;&gt;0),N278+(N278*E278/100),N278)))</f>
        <v>1588.91716717537</v>
      </c>
      <c r="O279">
        <f>O278+(O278*E279/100)</f>
        <v>1658.977921081304</v>
      </c>
    </row>
    <row r="280" spans="1:15" x14ac:dyDescent="0.25">
      <c r="A280" s="1">
        <v>45482</v>
      </c>
      <c r="B280">
        <v>0.208056495667685</v>
      </c>
      <c r="C280">
        <v>6.5952899959142997E-2</v>
      </c>
      <c r="D280">
        <v>0.37749274445337799</v>
      </c>
      <c r="E280">
        <v>-1.2124418567403901</v>
      </c>
      <c r="F280" s="3">
        <v>0.271474299306731</v>
      </c>
      <c r="G280" t="str">
        <f t="shared" si="28"/>
        <v>buy</v>
      </c>
      <c r="H280">
        <f t="shared" si="29"/>
        <v>1</v>
      </c>
      <c r="I280" t="str">
        <f t="shared" si="30"/>
        <v>keep</v>
      </c>
      <c r="J280">
        <f t="shared" si="26"/>
        <v>0</v>
      </c>
      <c r="K280">
        <f t="shared" si="27"/>
        <v>0</v>
      </c>
      <c r="L280">
        <f t="shared" si="31"/>
        <v>0</v>
      </c>
      <c r="M280">
        <f>IF(I280="sell",N279+(N279*E280/100),IF(I280="buy",0,M279))</f>
        <v>0</v>
      </c>
      <c r="N280">
        <f>IF(I280="buy",M279,IF(I280="sell",0,IF(AND(I280="keep",N279&lt;&gt;0),N279+(N279*E279/100),N279)))</f>
        <v>1584.7402207479047</v>
      </c>
      <c r="O280">
        <f>O279+(O279*E280/100)</f>
        <v>1638.8637783720326</v>
      </c>
    </row>
    <row r="281" spans="1:15" x14ac:dyDescent="0.25">
      <c r="A281" s="1">
        <v>45483</v>
      </c>
      <c r="B281">
        <v>0.51268391233241195</v>
      </c>
      <c r="C281">
        <v>1.0871809308413201</v>
      </c>
      <c r="D281">
        <v>1.88035876114409</v>
      </c>
      <c r="E281">
        <v>0.880474379077678</v>
      </c>
      <c r="F281" s="3">
        <v>0.63487340387959901</v>
      </c>
      <c r="G281" t="str">
        <f t="shared" si="28"/>
        <v>buy</v>
      </c>
      <c r="H281">
        <f t="shared" si="29"/>
        <v>1</v>
      </c>
      <c r="I281" t="str">
        <f t="shared" si="30"/>
        <v>keep</v>
      </c>
      <c r="J281">
        <f t="shared" si="26"/>
        <v>0</v>
      </c>
      <c r="K281">
        <f t="shared" si="27"/>
        <v>0</v>
      </c>
      <c r="L281">
        <f t="shared" si="31"/>
        <v>0</v>
      </c>
      <c r="M281">
        <f>IF(I281="sell",N280+(N280*E281/100),IF(I281="buy",0,M280))</f>
        <v>0</v>
      </c>
      <c r="N281">
        <f>IF(I281="buy",M280,IF(I281="sell",0,IF(AND(I281="keep",N280&lt;&gt;0),N280+(N280*E280/100),N280)))</f>
        <v>1565.5261669909571</v>
      </c>
      <c r="O281">
        <f>O280+(O280*E281/100)</f>
        <v>1653.2935540485828</v>
      </c>
    </row>
    <row r="282" spans="1:15" x14ac:dyDescent="0.25">
      <c r="A282" s="1">
        <v>45484</v>
      </c>
      <c r="B282">
        <v>1.80423445363371</v>
      </c>
      <c r="C282">
        <v>-2.2443189198354898</v>
      </c>
      <c r="D282">
        <v>-2.3220815776573902</v>
      </c>
      <c r="E282">
        <v>1.0843709035282201</v>
      </c>
      <c r="F282" s="3">
        <v>9.3553705969304901E-2</v>
      </c>
      <c r="G282" t="str">
        <f t="shared" si="28"/>
        <v>keep</v>
      </c>
      <c r="H282">
        <f t="shared" si="29"/>
        <v>0</v>
      </c>
      <c r="I282" t="str">
        <f t="shared" si="30"/>
        <v>keep</v>
      </c>
      <c r="J282">
        <f t="shared" si="26"/>
        <v>0</v>
      </c>
      <c r="K282">
        <f t="shared" si="27"/>
        <v>0</v>
      </c>
      <c r="L282">
        <f t="shared" si="31"/>
        <v>0</v>
      </c>
      <c r="M282">
        <f>IF(I282="sell",N281+(N281*E282/100),IF(I282="buy",0,M281))</f>
        <v>0</v>
      </c>
      <c r="N282">
        <f>IF(I282="buy",M281,IF(I282="sell",0,IF(AND(I282="keep",N281&lt;&gt;0),N281+(N281*E281/100),N281)))</f>
        <v>1579.3102237890694</v>
      </c>
      <c r="O282">
        <f>O281+(O281*E282/100)</f>
        <v>1671.2213882985932</v>
      </c>
    </row>
    <row r="283" spans="1:15" x14ac:dyDescent="0.25">
      <c r="A283" s="1">
        <v>45485</v>
      </c>
      <c r="B283">
        <v>-4.14078674948248E-2</v>
      </c>
      <c r="C283">
        <v>0.59437298177773501</v>
      </c>
      <c r="D283">
        <v>1.3050871382342</v>
      </c>
      <c r="E283">
        <v>-0.156991470642631</v>
      </c>
      <c r="F283" s="3">
        <v>0.39975166514301402</v>
      </c>
      <c r="G283" t="str">
        <f t="shared" si="28"/>
        <v>buy</v>
      </c>
      <c r="H283">
        <f t="shared" si="29"/>
        <v>1</v>
      </c>
      <c r="I283" t="str">
        <f t="shared" si="30"/>
        <v>keep</v>
      </c>
      <c r="J283">
        <f t="shared" si="26"/>
        <v>0</v>
      </c>
      <c r="K283">
        <f t="shared" si="27"/>
        <v>0</v>
      </c>
      <c r="L283">
        <f t="shared" si="31"/>
        <v>0</v>
      </c>
      <c r="M283">
        <f>IF(I283="sell",N282+(N282*E283/100),IF(I283="buy",0,M282))</f>
        <v>0</v>
      </c>
      <c r="N283">
        <f>IF(I283="buy",M282,IF(I283="sell",0,IF(AND(I283="keep",N282&lt;&gt;0),N282+(N282*E282/100),N282)))</f>
        <v>1596.4358043322845</v>
      </c>
      <c r="O283">
        <f>O282+(O282*E283/100)</f>
        <v>1668.5977132634091</v>
      </c>
    </row>
    <row r="284" spans="1:15" x14ac:dyDescent="0.25">
      <c r="A284" s="1">
        <v>45488</v>
      </c>
      <c r="B284">
        <v>0.36867863892915398</v>
      </c>
      <c r="C284">
        <v>0.27243760472781497</v>
      </c>
      <c r="D284">
        <v>1.67432711090913</v>
      </c>
      <c r="E284">
        <v>0.41928123785079902</v>
      </c>
      <c r="F284" s="3">
        <v>0.54846924901719896</v>
      </c>
      <c r="G284" t="str">
        <f t="shared" si="28"/>
        <v>buy</v>
      </c>
      <c r="H284">
        <f t="shared" si="29"/>
        <v>0</v>
      </c>
      <c r="I284" t="str">
        <f t="shared" si="30"/>
        <v>keep</v>
      </c>
      <c r="J284">
        <f t="shared" si="26"/>
        <v>0</v>
      </c>
      <c r="K284">
        <f t="shared" si="27"/>
        <v>0</v>
      </c>
      <c r="L284">
        <f t="shared" si="31"/>
        <v>0</v>
      </c>
      <c r="M284">
        <f>IF(I284="sell",N283+(N283*E284/100),IF(I284="buy",0,M283))</f>
        <v>0</v>
      </c>
      <c r="N284">
        <f>IF(I284="buy",M283,IF(I284="sell",0,IF(AND(I284="keep",N283&lt;&gt;0),N283+(N283*E283/100),N283)))</f>
        <v>1593.9295362851979</v>
      </c>
      <c r="O284">
        <f>O283+(O283*E284/100)</f>
        <v>1675.5938304103302</v>
      </c>
    </row>
    <row r="285" spans="1:15" x14ac:dyDescent="0.25">
      <c r="A285" s="1">
        <v>45489</v>
      </c>
      <c r="B285">
        <v>1.6302778320222899</v>
      </c>
      <c r="C285">
        <v>5.7577622251137002E-2</v>
      </c>
      <c r="D285">
        <v>0.17917805385723101</v>
      </c>
      <c r="E285">
        <v>-2.6091750948442599E-2</v>
      </c>
      <c r="F285" s="3">
        <v>0.55208274503602695</v>
      </c>
      <c r="G285" t="str">
        <f t="shared" si="28"/>
        <v>buy</v>
      </c>
      <c r="H285">
        <f t="shared" si="29"/>
        <v>0</v>
      </c>
      <c r="I285" t="str">
        <f t="shared" si="30"/>
        <v>keep</v>
      </c>
      <c r="J285">
        <f t="shared" si="26"/>
        <v>0</v>
      </c>
      <c r="K285">
        <f t="shared" si="27"/>
        <v>0</v>
      </c>
      <c r="L285">
        <f t="shared" si="31"/>
        <v>0</v>
      </c>
      <c r="M285">
        <f>IF(I285="sell",N284+(N284*E285/100),IF(I285="buy",0,M284))</f>
        <v>0</v>
      </c>
      <c r="N285">
        <f>IF(I285="buy",M284,IF(I285="sell",0,IF(AND(I285="keep",N284&lt;&gt;0),N284+(N284*E284/100),N284)))</f>
        <v>1600.6125837754039</v>
      </c>
      <c r="O285">
        <f>O284+(O284*E285/100)</f>
        <v>1675.1566386411921</v>
      </c>
    </row>
    <row r="286" spans="1:15" x14ac:dyDescent="0.25">
      <c r="A286" s="1">
        <v>45490</v>
      </c>
      <c r="B286">
        <v>-0.30863603870319101</v>
      </c>
      <c r="C286">
        <v>-2.9388191009022999</v>
      </c>
      <c r="D286">
        <v>-2.5295992645504999</v>
      </c>
      <c r="E286">
        <v>-0.62646980497770199</v>
      </c>
      <c r="F286" s="3">
        <v>-0.44747228560126201</v>
      </c>
      <c r="G286" t="str">
        <f t="shared" si="28"/>
        <v>sell</v>
      </c>
      <c r="H286">
        <f t="shared" si="29"/>
        <v>0</v>
      </c>
      <c r="I286" t="str">
        <f t="shared" si="30"/>
        <v>sell</v>
      </c>
      <c r="J286">
        <f t="shared" si="26"/>
        <v>0</v>
      </c>
      <c r="K286">
        <f t="shared" si="27"/>
        <v>1</v>
      </c>
      <c r="L286">
        <f t="shared" si="31"/>
        <v>0</v>
      </c>
      <c r="M286">
        <f>IF(I286="sell",N285+(N285*E286/100),IF(I286="buy",0,M285))</f>
        <v>1590.5852292433776</v>
      </c>
      <c r="N286">
        <f>IF(I286="buy",M285,IF(I286="sell",0,IF(AND(I286="keep",N285&lt;&gt;0),N285+(N285*E285/100),N285)))</f>
        <v>0</v>
      </c>
      <c r="O286">
        <f>O285+(O285*E286/100)</f>
        <v>1664.6622881140256</v>
      </c>
    </row>
    <row r="287" spans="1:15" x14ac:dyDescent="0.25">
      <c r="A287" s="1">
        <v>45491</v>
      </c>
      <c r="B287">
        <v>-0.12220954620853999</v>
      </c>
      <c r="C287">
        <v>-0.47502456309261798</v>
      </c>
      <c r="D287">
        <v>-2.0534761181655701</v>
      </c>
      <c r="E287">
        <v>0.84055542079226597</v>
      </c>
      <c r="F287" s="3">
        <v>-0.23343485448902801</v>
      </c>
      <c r="G287" t="str">
        <f t="shared" si="28"/>
        <v>sell</v>
      </c>
      <c r="H287">
        <f t="shared" si="29"/>
        <v>1</v>
      </c>
      <c r="I287" t="str">
        <f t="shared" si="30"/>
        <v>keep</v>
      </c>
      <c r="J287">
        <f t="shared" si="26"/>
        <v>0</v>
      </c>
      <c r="K287">
        <f t="shared" si="27"/>
        <v>0</v>
      </c>
      <c r="L287">
        <f t="shared" si="31"/>
        <v>0</v>
      </c>
      <c r="M287">
        <f>IF(I287="sell",N286+(N286*E287/100),IF(I287="buy",0,M286))</f>
        <v>1590.5852292433776</v>
      </c>
      <c r="N287">
        <f>IF(I287="buy",M286,IF(I287="sell",0,IF(AND(I287="keep",N286&lt;&gt;0),N286+(N286*E286/100),N286)))</f>
        <v>0</v>
      </c>
      <c r="O287">
        <f>O286+(O286*E287/100)</f>
        <v>1678.6546972146525</v>
      </c>
    </row>
    <row r="288" spans="1:15" x14ac:dyDescent="0.25">
      <c r="A288" s="1">
        <v>45492</v>
      </c>
      <c r="B288">
        <v>-2.2962740723916002</v>
      </c>
      <c r="C288">
        <v>-0.92600797343167496</v>
      </c>
      <c r="D288">
        <v>5.7987711292462003E-2</v>
      </c>
      <c r="E288">
        <v>-4.4021841284651497</v>
      </c>
      <c r="F288" s="3">
        <v>-0.34852334160135201</v>
      </c>
      <c r="G288" t="str">
        <f t="shared" si="28"/>
        <v>sell</v>
      </c>
      <c r="H288">
        <f t="shared" si="29"/>
        <v>1</v>
      </c>
      <c r="I288" t="str">
        <f t="shared" si="30"/>
        <v>keep</v>
      </c>
      <c r="J288">
        <f t="shared" si="26"/>
        <v>0</v>
      </c>
      <c r="K288">
        <f t="shared" si="27"/>
        <v>0</v>
      </c>
      <c r="L288">
        <f t="shared" si="31"/>
        <v>0</v>
      </c>
      <c r="M288">
        <f>IF(I288="sell",N287+(N287*E288/100),IF(I288="buy",0,M287))</f>
        <v>1590.5852292433776</v>
      </c>
      <c r="N288">
        <f>IF(I288="buy",M287,IF(I288="sell",0,IF(AND(I288="keep",N287&lt;&gt;0),N287+(N287*E287/100),N287)))</f>
        <v>0</v>
      </c>
      <c r="O288">
        <f>O287+(O287*E288/100)</f>
        <v>1604.7572265621343</v>
      </c>
    </row>
    <row r="289" spans="1:15" x14ac:dyDescent="0.25">
      <c r="A289" s="1">
        <v>45495</v>
      </c>
      <c r="B289">
        <v>-0.146107284491758</v>
      </c>
      <c r="C289">
        <v>1.537959624358</v>
      </c>
      <c r="D289">
        <v>-0.15602817547505299</v>
      </c>
      <c r="E289">
        <v>-0.76294825252279896</v>
      </c>
      <c r="F289" s="3">
        <v>9.7665706063035998E-2</v>
      </c>
      <c r="G289" t="str">
        <f t="shared" si="28"/>
        <v>keep</v>
      </c>
      <c r="H289">
        <f t="shared" si="29"/>
        <v>0</v>
      </c>
      <c r="I289" t="str">
        <f t="shared" si="30"/>
        <v>keep</v>
      </c>
      <c r="J289">
        <f t="shared" si="26"/>
        <v>0</v>
      </c>
      <c r="K289">
        <f t="shared" si="27"/>
        <v>0</v>
      </c>
      <c r="L289">
        <f t="shared" si="31"/>
        <v>0</v>
      </c>
      <c r="M289">
        <f>IF(I289="sell",N288+(N288*E289/100),IF(I289="buy",0,M288))</f>
        <v>1590.5852292433776</v>
      </c>
      <c r="N289">
        <f>IF(I289="buy",M288,IF(I289="sell",0,IF(AND(I289="keep",N288&lt;&gt;0),N288+(N288*E288/100),N288)))</f>
        <v>0</v>
      </c>
      <c r="O289">
        <f>O288+(O288*E289/100)</f>
        <v>1592.5137593448451</v>
      </c>
    </row>
    <row r="290" spans="1:15" x14ac:dyDescent="0.25">
      <c r="A290" s="1">
        <v>45496</v>
      </c>
      <c r="B290">
        <v>0.52675993546196198</v>
      </c>
      <c r="C290">
        <v>-0.34570826447396502</v>
      </c>
      <c r="D290">
        <v>0.468829730395459</v>
      </c>
      <c r="E290">
        <v>-1.61997563812706</v>
      </c>
      <c r="F290" s="3">
        <v>0.34951590693727702</v>
      </c>
      <c r="G290" t="str">
        <f t="shared" si="28"/>
        <v>buy</v>
      </c>
      <c r="H290">
        <f t="shared" si="29"/>
        <v>1</v>
      </c>
      <c r="I290" t="str">
        <f t="shared" si="30"/>
        <v>buy</v>
      </c>
      <c r="J290">
        <f t="shared" si="26"/>
        <v>1</v>
      </c>
      <c r="K290">
        <f t="shared" si="27"/>
        <v>0</v>
      </c>
      <c r="L290">
        <f t="shared" si="31"/>
        <v>1</v>
      </c>
      <c r="M290">
        <f>IF(I290="sell",N289+(N289*E290/100),IF(I290="buy",0,M289))</f>
        <v>0</v>
      </c>
      <c r="N290">
        <f>IF(I290="buy",M289,IF(I290="sell",0,IF(AND(I290="keep",N289&lt;&gt;0),N289+(N289*E289/100),N289)))</f>
        <v>1590.5852292433776</v>
      </c>
      <c r="O290">
        <f>O289+(O289*E290/100)</f>
        <v>1566.7154244096373</v>
      </c>
    </row>
    <row r="291" spans="1:15" x14ac:dyDescent="0.25">
      <c r="A291" s="1">
        <v>45497</v>
      </c>
      <c r="B291">
        <v>0.36180449216294203</v>
      </c>
      <c r="C291">
        <v>-3.6546360164924101</v>
      </c>
      <c r="D291">
        <v>-2.8754247948780498</v>
      </c>
      <c r="E291">
        <v>0.27908336406303702</v>
      </c>
      <c r="F291" s="3">
        <v>-0.35897575606489401</v>
      </c>
      <c r="G291" t="str">
        <f t="shared" si="28"/>
        <v>sell</v>
      </c>
      <c r="H291">
        <f t="shared" si="29"/>
        <v>1</v>
      </c>
      <c r="I291" t="str">
        <f t="shared" si="30"/>
        <v>sell</v>
      </c>
      <c r="J291">
        <f t="shared" si="26"/>
        <v>0</v>
      </c>
      <c r="K291">
        <f t="shared" si="27"/>
        <v>1</v>
      </c>
      <c r="L291">
        <f t="shared" si="31"/>
        <v>1</v>
      </c>
      <c r="M291">
        <f>IF(I291="sell",N290+(N290*E291/100),IF(I291="buy",0,M290))</f>
        <v>1595.0242880094397</v>
      </c>
      <c r="N291">
        <f>IF(I291="buy",M290,IF(I291="sell",0,IF(AND(I291="keep",N290&lt;&gt;0),N290+(N290*E290/100),N290)))</f>
        <v>0</v>
      </c>
      <c r="O291">
        <f>O290+(O290*E291/100)</f>
        <v>1571.0878665213743</v>
      </c>
    </row>
    <row r="292" spans="1:15" x14ac:dyDescent="0.25">
      <c r="A292" s="1">
        <v>45498</v>
      </c>
      <c r="B292">
        <v>-2.5442400547826698</v>
      </c>
      <c r="C292">
        <v>-1.0603531151252701</v>
      </c>
      <c r="D292">
        <v>-0.48045715834630298</v>
      </c>
      <c r="E292">
        <v>-3.3398245220509</v>
      </c>
      <c r="F292" s="3">
        <v>-0.56185075479159396</v>
      </c>
      <c r="G292" t="str">
        <f t="shared" si="28"/>
        <v>sell</v>
      </c>
      <c r="H292">
        <f t="shared" si="29"/>
        <v>1</v>
      </c>
      <c r="I292" t="str">
        <f t="shared" si="30"/>
        <v>keep</v>
      </c>
      <c r="J292">
        <f t="shared" si="26"/>
        <v>0</v>
      </c>
      <c r="K292">
        <f t="shared" si="27"/>
        <v>0</v>
      </c>
      <c r="L292">
        <f t="shared" si="31"/>
        <v>0</v>
      </c>
      <c r="M292">
        <f>IF(I292="sell",N291+(N291*E292/100),IF(I292="buy",0,M291))</f>
        <v>1595.0242880094397</v>
      </c>
      <c r="N292">
        <f>IF(I292="buy",M291,IF(I292="sell",0,IF(AND(I292="keep",N291&lt;&gt;0),N291+(N291*E291/100),N291)))</f>
        <v>0</v>
      </c>
      <c r="O292">
        <f>O291+(O291*E292/100)</f>
        <v>1518.6162886923271</v>
      </c>
    </row>
    <row r="293" spans="1:15" x14ac:dyDescent="0.25">
      <c r="A293" s="1">
        <v>45499</v>
      </c>
      <c r="B293">
        <v>1.1947828914082099</v>
      </c>
      <c r="C293">
        <v>1.0253538516813601</v>
      </c>
      <c r="D293">
        <v>0.21609392206265399</v>
      </c>
      <c r="E293">
        <v>-2.6202088795507099</v>
      </c>
      <c r="F293" s="3">
        <v>0.48770965028480501</v>
      </c>
      <c r="G293" t="str">
        <f t="shared" si="28"/>
        <v>buy</v>
      </c>
      <c r="H293">
        <f t="shared" si="29"/>
        <v>1</v>
      </c>
      <c r="I293" t="str">
        <f t="shared" si="30"/>
        <v>buy</v>
      </c>
      <c r="J293">
        <f t="shared" si="26"/>
        <v>1</v>
      </c>
      <c r="K293">
        <f t="shared" si="27"/>
        <v>0</v>
      </c>
      <c r="L293">
        <f t="shared" si="31"/>
        <v>1</v>
      </c>
      <c r="M293">
        <f>IF(I293="sell",N292+(N292*E293/100),IF(I293="buy",0,M292))</f>
        <v>0</v>
      </c>
      <c r="N293">
        <f>IF(I293="buy",M292,IF(I293="sell",0,IF(AND(I293="keep",N292&lt;&gt;0),N292+(N292*E292/100),N292)))</f>
        <v>1595.0242880094397</v>
      </c>
      <c r="O293">
        <f>O292+(O292*E293/100)</f>
        <v>1478.8253698497074</v>
      </c>
    </row>
    <row r="294" spans="1:15" x14ac:dyDescent="0.25">
      <c r="A294" s="1">
        <v>45502</v>
      </c>
      <c r="B294">
        <v>-0.11344332654936699</v>
      </c>
      <c r="C294">
        <v>0.188344818140739</v>
      </c>
      <c r="D294">
        <v>0.12846895970168801</v>
      </c>
      <c r="E294">
        <v>1.77409057526498</v>
      </c>
      <c r="F294" s="3">
        <v>0.122777509280524</v>
      </c>
      <c r="G294" t="str">
        <f t="shared" si="28"/>
        <v>keep</v>
      </c>
      <c r="H294">
        <f t="shared" si="29"/>
        <v>1</v>
      </c>
      <c r="I294" t="str">
        <f t="shared" si="30"/>
        <v>keep</v>
      </c>
      <c r="J294">
        <f t="shared" si="26"/>
        <v>0</v>
      </c>
      <c r="K294">
        <f t="shared" si="27"/>
        <v>0</v>
      </c>
      <c r="L294">
        <f t="shared" si="31"/>
        <v>0</v>
      </c>
      <c r="M294">
        <f>IF(I294="sell",N293+(N293*E294/100),IF(I294="buy",0,M293))</f>
        <v>0</v>
      </c>
      <c r="N294">
        <f>IF(I294="buy",M293,IF(I294="sell",0,IF(AND(I294="keep",N293&lt;&gt;0),N293+(N293*E293/100),N293)))</f>
        <v>1553.231319984026</v>
      </c>
      <c r="O294">
        <f>O293+(O293*E294/100)</f>
        <v>1505.0610713608385</v>
      </c>
    </row>
    <row r="295" spans="1:15" x14ac:dyDescent="0.25">
      <c r="A295" s="1">
        <v>45503</v>
      </c>
      <c r="B295">
        <v>1.1651853196036099</v>
      </c>
      <c r="C295">
        <v>-1.3810479707912899</v>
      </c>
      <c r="D295">
        <v>0.25658713974077102</v>
      </c>
      <c r="E295">
        <v>0.639162912731983</v>
      </c>
      <c r="F295" s="3">
        <v>0.39287898786546199</v>
      </c>
      <c r="G295" t="str">
        <f t="shared" si="28"/>
        <v>buy</v>
      </c>
      <c r="H295">
        <f t="shared" si="29"/>
        <v>1</v>
      </c>
      <c r="I295" t="str">
        <f t="shared" si="30"/>
        <v>keep</v>
      </c>
      <c r="J295">
        <f t="shared" si="26"/>
        <v>0</v>
      </c>
      <c r="K295">
        <f t="shared" si="27"/>
        <v>0</v>
      </c>
      <c r="L295">
        <f t="shared" si="31"/>
        <v>0</v>
      </c>
      <c r="M295">
        <f>IF(I295="sell",N294+(N294*E295/100),IF(I295="buy",0,M294))</f>
        <v>0</v>
      </c>
      <c r="N295">
        <f>IF(I295="buy",M294,IF(I295="sell",0,IF(AND(I295="keep",N294&lt;&gt;0),N294+(N294*E294/100),N294)))</f>
        <v>1580.7870504439263</v>
      </c>
      <c r="O295">
        <f>O294+(O294*E295/100)</f>
        <v>1514.6808635429436</v>
      </c>
    </row>
    <row r="296" spans="1:15" x14ac:dyDescent="0.25">
      <c r="A296" s="1">
        <v>45504</v>
      </c>
      <c r="B296">
        <v>0.89397089397089602</v>
      </c>
      <c r="C296">
        <v>3.0120878789736598</v>
      </c>
      <c r="D296">
        <v>1.49909345530407</v>
      </c>
      <c r="E296">
        <v>2.88751635047379E-2</v>
      </c>
      <c r="F296" s="3">
        <v>0.78287236549786499</v>
      </c>
      <c r="G296" t="str">
        <f t="shared" si="28"/>
        <v>buy</v>
      </c>
      <c r="H296">
        <f t="shared" si="29"/>
        <v>0</v>
      </c>
      <c r="I296" t="str">
        <f t="shared" si="30"/>
        <v>keep</v>
      </c>
      <c r="J296">
        <f t="shared" si="26"/>
        <v>0</v>
      </c>
      <c r="K296">
        <f t="shared" si="27"/>
        <v>0</v>
      </c>
      <c r="L296">
        <f t="shared" si="31"/>
        <v>0</v>
      </c>
      <c r="M296">
        <f>IF(I296="sell",N295+(N295*E296/100),IF(I296="buy",0,M295))</f>
        <v>0</v>
      </c>
      <c r="N296">
        <f>IF(I296="buy",M295,IF(I296="sell",0,IF(AND(I296="keep",N295&lt;&gt;0),N295+(N295*E295/100),N295)))</f>
        <v>1590.8908549996338</v>
      </c>
      <c r="O296">
        <f>O295+(O295*E296/100)</f>
        <v>1515.1182301188667</v>
      </c>
    </row>
    <row r="297" spans="1:15" x14ac:dyDescent="0.25">
      <c r="A297" s="1">
        <v>45505</v>
      </c>
      <c r="B297">
        <v>0.35029878425716299</v>
      </c>
      <c r="C297">
        <v>-2.4379123390941899</v>
      </c>
      <c r="D297">
        <v>-1.6750702992864599</v>
      </c>
      <c r="E297">
        <v>-0.54834282254353495</v>
      </c>
      <c r="F297" s="3">
        <v>-0.225361875717938</v>
      </c>
      <c r="G297" t="str">
        <f t="shared" si="28"/>
        <v>sell</v>
      </c>
      <c r="H297">
        <f t="shared" si="29"/>
        <v>1</v>
      </c>
      <c r="I297" t="str">
        <f t="shared" si="30"/>
        <v>sell</v>
      </c>
      <c r="J297">
        <f t="shared" si="26"/>
        <v>0</v>
      </c>
      <c r="K297">
        <f t="shared" si="27"/>
        <v>1</v>
      </c>
      <c r="L297">
        <f t="shared" si="31"/>
        <v>1</v>
      </c>
      <c r="M297">
        <f>IF(I297="sell",N296+(N296*E297/100),IF(I297="buy",0,M296))</f>
        <v>1582.1673191817417</v>
      </c>
      <c r="N297">
        <f>IF(I297="buy",M296,IF(I297="sell",0,IF(AND(I297="keep",N296&lt;&gt;0),N296+(N296*E296/100),N296)))</f>
        <v>0</v>
      </c>
      <c r="O297">
        <f>O296+(O296*E297/100)</f>
        <v>1506.8101880509612</v>
      </c>
    </row>
    <row r="298" spans="1:15" x14ac:dyDescent="0.25">
      <c r="A298" s="1">
        <v>45506</v>
      </c>
      <c r="B298">
        <v>-0.38193219006673601</v>
      </c>
      <c r="C298">
        <v>-2.3797338263088399</v>
      </c>
      <c r="D298">
        <v>0.68693316493479895</v>
      </c>
      <c r="E298">
        <v>-2.3215339551299001</v>
      </c>
      <c r="F298" s="3">
        <v>2.3982137944256798E-2</v>
      </c>
      <c r="G298" t="str">
        <f t="shared" si="28"/>
        <v>keep</v>
      </c>
      <c r="H298">
        <f t="shared" si="29"/>
        <v>0</v>
      </c>
      <c r="I298" t="str">
        <f t="shared" si="30"/>
        <v>keep</v>
      </c>
      <c r="J298">
        <f t="shared" si="26"/>
        <v>0</v>
      </c>
      <c r="K298">
        <f t="shared" si="27"/>
        <v>0</v>
      </c>
      <c r="L298">
        <f t="shared" si="31"/>
        <v>0</v>
      </c>
      <c r="M298">
        <f>IF(I298="sell",N297+(N297*E298/100),IF(I298="buy",0,M297))</f>
        <v>1582.1673191817417</v>
      </c>
      <c r="N298">
        <f>IF(I298="buy",M297,IF(I298="sell",0,IF(AND(I298="keep",N297&lt;&gt;0),N297+(N297*E297/100),N297)))</f>
        <v>0</v>
      </c>
      <c r="O298">
        <f>O297+(O297*E298/100)</f>
        <v>1471.8290778960013</v>
      </c>
    </row>
    <row r="299" spans="1:15" x14ac:dyDescent="0.25">
      <c r="A299" s="1">
        <v>45509</v>
      </c>
      <c r="B299">
        <v>-0.98940514008772895</v>
      </c>
      <c r="C299">
        <v>-2.9591340132592401</v>
      </c>
      <c r="D299">
        <v>-4.8166930451444703</v>
      </c>
      <c r="E299">
        <v>-2.3767041483901798</v>
      </c>
      <c r="F299" s="3">
        <v>-1.2659565279952301</v>
      </c>
      <c r="G299" t="str">
        <f t="shared" si="28"/>
        <v>sell</v>
      </c>
      <c r="H299">
        <f t="shared" si="29"/>
        <v>0</v>
      </c>
      <c r="I299" t="str">
        <f t="shared" si="30"/>
        <v>keep</v>
      </c>
      <c r="J299">
        <f t="shared" si="26"/>
        <v>0</v>
      </c>
      <c r="K299">
        <f t="shared" si="27"/>
        <v>0</v>
      </c>
      <c r="L299">
        <f t="shared" si="31"/>
        <v>0</v>
      </c>
      <c r="M299">
        <f>IF(I299="sell",N298+(N298*E299/100),IF(I299="buy",0,M298))</f>
        <v>1582.1673191817417</v>
      </c>
      <c r="N299">
        <f>IF(I299="buy",M298,IF(I299="sell",0,IF(AND(I299="keep",N298&lt;&gt;0),N298+(N298*E298/100),N298)))</f>
        <v>0</v>
      </c>
      <c r="O299">
        <f>O298+(O298*E299/100)</f>
        <v>1436.8480551444341</v>
      </c>
    </row>
    <row r="300" spans="1:15" x14ac:dyDescent="0.25">
      <c r="A300" s="1">
        <v>45510</v>
      </c>
      <c r="B300">
        <v>-0.52462229969555396</v>
      </c>
      <c r="C300">
        <v>1.0212804134148401</v>
      </c>
      <c r="D300">
        <v>-0.97482799765500305</v>
      </c>
      <c r="E300">
        <v>0.82166660553257798</v>
      </c>
      <c r="F300" s="3">
        <v>-9.8664384928640894E-2</v>
      </c>
      <c r="G300" t="str">
        <f t="shared" si="28"/>
        <v>keep</v>
      </c>
      <c r="H300">
        <f t="shared" si="29"/>
        <v>0</v>
      </c>
      <c r="I300" t="str">
        <f t="shared" si="30"/>
        <v>keep</v>
      </c>
      <c r="J300">
        <f t="shared" si="26"/>
        <v>0</v>
      </c>
      <c r="K300">
        <f t="shared" si="27"/>
        <v>0</v>
      </c>
      <c r="L300">
        <f t="shared" si="31"/>
        <v>0</v>
      </c>
      <c r="M300">
        <f>IF(I300="sell",N299+(N299*E300/100),IF(I300="buy",0,M299))</f>
        <v>1582.1673191817417</v>
      </c>
      <c r="N300">
        <f>IF(I300="buy",M299,IF(I300="sell",0,IF(AND(I300="keep",N299&lt;&gt;0),N299+(N299*E299/100),N299)))</f>
        <v>0</v>
      </c>
      <c r="O300">
        <f>O299+(O299*E300/100)</f>
        <v>1448.6541557858002</v>
      </c>
    </row>
    <row r="301" spans="1:15" x14ac:dyDescent="0.25">
      <c r="A301" s="1">
        <v>45511</v>
      </c>
      <c r="B301">
        <v>5.8595382634796203E-2</v>
      </c>
      <c r="C301">
        <v>-1.1646847765667101</v>
      </c>
      <c r="D301">
        <v>1.2498253258761101</v>
      </c>
      <c r="E301">
        <v>0.69423549537124196</v>
      </c>
      <c r="F301" s="3">
        <v>0.227431516171303</v>
      </c>
      <c r="G301" t="str">
        <f t="shared" si="28"/>
        <v>buy</v>
      </c>
      <c r="H301">
        <f t="shared" si="29"/>
        <v>0</v>
      </c>
      <c r="I301" t="str">
        <f t="shared" si="30"/>
        <v>buy</v>
      </c>
      <c r="J301">
        <f t="shared" si="26"/>
        <v>1</v>
      </c>
      <c r="K301">
        <f t="shared" si="27"/>
        <v>0</v>
      </c>
      <c r="L301">
        <f t="shared" si="31"/>
        <v>0</v>
      </c>
      <c r="M301">
        <f>IF(I301="sell",N300+(N300*E301/100),IF(I301="buy",0,M300))</f>
        <v>0</v>
      </c>
      <c r="N301">
        <f>IF(I301="buy",M300,IF(I301="sell",0,IF(AND(I301="keep",N300&lt;&gt;0),N300+(N300*E300/100),N300)))</f>
        <v>1582.1673191817417</v>
      </c>
      <c r="O301">
        <f>O300+(O300*E301/100)</f>
        <v>1458.7112271404358</v>
      </c>
    </row>
    <row r="302" spans="1:15" x14ac:dyDescent="0.25">
      <c r="A302" s="1">
        <v>45512</v>
      </c>
      <c r="B302">
        <v>1.3260803669473</v>
      </c>
      <c r="C302">
        <v>3.0583751170872402</v>
      </c>
      <c r="D302">
        <v>1.66333296700342</v>
      </c>
      <c r="E302">
        <v>-0.98921399987009695</v>
      </c>
      <c r="F302" s="3">
        <v>0.9463234733832</v>
      </c>
      <c r="G302" t="str">
        <f t="shared" si="28"/>
        <v>buy</v>
      </c>
      <c r="H302">
        <f t="shared" si="29"/>
        <v>1</v>
      </c>
      <c r="I302" t="str">
        <f t="shared" si="30"/>
        <v>keep</v>
      </c>
      <c r="J302">
        <f t="shared" si="26"/>
        <v>0</v>
      </c>
      <c r="K302">
        <f t="shared" si="27"/>
        <v>0</v>
      </c>
      <c r="L302">
        <f t="shared" si="31"/>
        <v>0</v>
      </c>
      <c r="M302">
        <f>IF(I302="sell",N301+(N301*E302/100),IF(I302="buy",0,M301))</f>
        <v>0</v>
      </c>
      <c r="N302">
        <f>IF(I302="buy",M301,IF(I302="sell",0,IF(AND(I302="keep",N301&lt;&gt;0),N301+(N301*E301/100),N301)))</f>
        <v>1593.151286307665</v>
      </c>
      <c r="O302">
        <f>O301+(O301*E302/100)</f>
        <v>1444.2814514638858</v>
      </c>
    </row>
    <row r="303" spans="1:15" x14ac:dyDescent="0.25">
      <c r="A303" s="1">
        <v>45513</v>
      </c>
      <c r="B303">
        <v>0.40872540186391798</v>
      </c>
      <c r="C303">
        <v>0.539156433538168</v>
      </c>
      <c r="D303">
        <v>1.3735943013186001</v>
      </c>
      <c r="E303">
        <v>1.4229513133310501</v>
      </c>
      <c r="F303" s="3">
        <v>0.46267594553337399</v>
      </c>
      <c r="G303" t="str">
        <f t="shared" si="28"/>
        <v>buy</v>
      </c>
      <c r="H303">
        <f t="shared" si="29"/>
        <v>0</v>
      </c>
      <c r="I303" t="str">
        <f t="shared" si="30"/>
        <v>keep</v>
      </c>
      <c r="J303">
        <f t="shared" si="26"/>
        <v>0</v>
      </c>
      <c r="K303">
        <f t="shared" si="27"/>
        <v>0</v>
      </c>
      <c r="L303">
        <f t="shared" si="31"/>
        <v>0</v>
      </c>
      <c r="M303">
        <f>IF(I303="sell",N302+(N302*E303/100),IF(I303="buy",0,M302))</f>
        <v>0</v>
      </c>
      <c r="N303">
        <f>IF(I303="buy",M302,IF(I303="sell",0,IF(AND(I303="keep",N302&lt;&gt;0),N302+(N302*E302/100),N302)))</f>
        <v>1577.391610744399</v>
      </c>
      <c r="O303">
        <f>O302+(O302*E303/100)</f>
        <v>1464.8328733456879</v>
      </c>
    </row>
    <row r="304" spans="1:15" x14ac:dyDescent="0.25">
      <c r="A304" s="1">
        <v>45516</v>
      </c>
      <c r="B304">
        <v>1.2458288504120001</v>
      </c>
      <c r="C304">
        <v>0.156266039239327</v>
      </c>
      <c r="D304">
        <v>0.71299155727344499</v>
      </c>
      <c r="E304">
        <v>-0.59701836295233901</v>
      </c>
      <c r="F304" s="3">
        <v>0.50707641037747397</v>
      </c>
      <c r="G304" t="str">
        <f t="shared" si="28"/>
        <v>buy</v>
      </c>
      <c r="H304">
        <f t="shared" si="29"/>
        <v>1</v>
      </c>
      <c r="I304" t="str">
        <f t="shared" si="30"/>
        <v>keep</v>
      </c>
      <c r="J304">
        <f t="shared" si="26"/>
        <v>0</v>
      </c>
      <c r="K304">
        <f t="shared" si="27"/>
        <v>0</v>
      </c>
      <c r="L304">
        <f t="shared" si="31"/>
        <v>0</v>
      </c>
      <c r="M304">
        <f>IF(I304="sell",N303+(N303*E304/100),IF(I304="buy",0,M303))</f>
        <v>0</v>
      </c>
      <c r="N304">
        <f>IF(I304="buy",M303,IF(I304="sell",0,IF(AND(I304="keep",N303&lt;&gt;0),N303+(N303*E303/100),N303)))</f>
        <v>1599.8371253858602</v>
      </c>
      <c r="O304">
        <f>O303+(O303*E304/100)</f>
        <v>1456.0875521052517</v>
      </c>
    </row>
    <row r="305" spans="1:15" x14ac:dyDescent="0.25">
      <c r="A305" s="1">
        <v>45517</v>
      </c>
      <c r="B305">
        <v>0.17462837064086101</v>
      </c>
      <c r="C305">
        <v>2.5045823366446101</v>
      </c>
      <c r="D305">
        <v>1.7193035992630801</v>
      </c>
      <c r="E305">
        <v>0.60060407959616702</v>
      </c>
      <c r="F305" s="3">
        <v>0.64851154297272895</v>
      </c>
      <c r="G305" t="str">
        <f t="shared" si="28"/>
        <v>buy</v>
      </c>
      <c r="H305">
        <f t="shared" si="29"/>
        <v>1</v>
      </c>
      <c r="I305" t="str">
        <f t="shared" si="30"/>
        <v>keep</v>
      </c>
      <c r="J305">
        <f t="shared" si="26"/>
        <v>0</v>
      </c>
      <c r="K305">
        <f t="shared" si="27"/>
        <v>0</v>
      </c>
      <c r="L305">
        <f t="shared" si="31"/>
        <v>0</v>
      </c>
      <c r="M305">
        <f>IF(I305="sell",N304+(N304*E305/100),IF(I305="buy",0,M304))</f>
        <v>0</v>
      </c>
      <c r="N305">
        <f>IF(I305="buy",M304,IF(I305="sell",0,IF(AND(I305="keep",N304&lt;&gt;0),N304+(N304*E304/100),N304)))</f>
        <v>1590.2858039699777</v>
      </c>
      <c r="O305">
        <f>O304+(O304*E305/100)</f>
        <v>1464.8328733456879</v>
      </c>
    </row>
    <row r="306" spans="1:15" x14ac:dyDescent="0.25">
      <c r="A306" s="1">
        <v>45518</v>
      </c>
      <c r="B306">
        <v>-1.1067438021861999</v>
      </c>
      <c r="C306">
        <v>8.5497383081301004E-2</v>
      </c>
      <c r="D306">
        <v>0.20337037541480099</v>
      </c>
      <c r="E306">
        <v>0.71642561561235896</v>
      </c>
      <c r="F306" s="3">
        <v>-0.110858198278164</v>
      </c>
      <c r="G306" t="str">
        <f t="shared" si="28"/>
        <v>keep</v>
      </c>
      <c r="H306">
        <f t="shared" si="29"/>
        <v>0</v>
      </c>
      <c r="I306" t="str">
        <f t="shared" si="30"/>
        <v>keep</v>
      </c>
      <c r="J306">
        <f t="shared" si="26"/>
        <v>0</v>
      </c>
      <c r="K306">
        <f t="shared" si="27"/>
        <v>0</v>
      </c>
      <c r="L306">
        <f t="shared" si="31"/>
        <v>0</v>
      </c>
      <c r="M306">
        <f>IF(I306="sell",N305+(N305*E306/100),IF(I306="buy",0,M305))</f>
        <v>0</v>
      </c>
      <c r="N306">
        <f>IF(I306="buy",M305,IF(I306="sell",0,IF(AND(I306="keep",N305&lt;&gt;0),N305+(N305*E305/100),N305)))</f>
        <v>1599.83712538586</v>
      </c>
      <c r="O306">
        <f>O305+(O305*E306/100)</f>
        <v>1475.327311276247</v>
      </c>
    </row>
    <row r="307" spans="1:15" x14ac:dyDescent="0.25">
      <c r="A307" s="1">
        <v>45519</v>
      </c>
      <c r="B307">
        <v>0.56162154058205704</v>
      </c>
      <c r="C307">
        <v>2.45743875628721</v>
      </c>
      <c r="D307">
        <v>1.35306002593063</v>
      </c>
      <c r="E307">
        <v>0.56312027830174305</v>
      </c>
      <c r="F307" s="3">
        <v>0.67789893949519697</v>
      </c>
      <c r="G307" t="str">
        <f t="shared" si="28"/>
        <v>buy</v>
      </c>
      <c r="H307">
        <f t="shared" si="29"/>
        <v>0</v>
      </c>
      <c r="I307" t="str">
        <f t="shared" si="30"/>
        <v>keep</v>
      </c>
      <c r="J307">
        <f t="shared" si="26"/>
        <v>0</v>
      </c>
      <c r="K307">
        <f t="shared" si="27"/>
        <v>0</v>
      </c>
      <c r="L307">
        <f t="shared" si="31"/>
        <v>0</v>
      </c>
      <c r="M307">
        <f>IF(I307="sell",N306+(N306*E307/100),IF(I307="buy",0,M306))</f>
        <v>0</v>
      </c>
      <c r="N307">
        <f>IF(I307="buy",M306,IF(I307="sell",0,IF(AND(I307="keep",N306&lt;&gt;0),N306+(N306*E306/100),N306)))</f>
        <v>1611.2987683602007</v>
      </c>
      <c r="O307">
        <f>O306+(O306*E307/100)</f>
        <v>1483.6351785373674</v>
      </c>
    </row>
    <row r="308" spans="1:15" x14ac:dyDescent="0.25">
      <c r="A308" s="1">
        <v>45520</v>
      </c>
      <c r="B308">
        <v>1.85479589860486</v>
      </c>
      <c r="C308">
        <v>9.4248326753998399E-2</v>
      </c>
      <c r="D308">
        <v>0.59184708869957003</v>
      </c>
      <c r="E308">
        <v>-0.117893988726192</v>
      </c>
      <c r="F308" s="3">
        <v>0.61368294089640896</v>
      </c>
      <c r="G308" t="str">
        <f t="shared" si="28"/>
        <v>buy</v>
      </c>
      <c r="H308">
        <f t="shared" si="29"/>
        <v>1</v>
      </c>
      <c r="I308" t="str">
        <f t="shared" si="30"/>
        <v>keep</v>
      </c>
      <c r="J308">
        <f t="shared" si="26"/>
        <v>0</v>
      </c>
      <c r="K308">
        <f t="shared" si="27"/>
        <v>0</v>
      </c>
      <c r="L308">
        <f t="shared" si="31"/>
        <v>0</v>
      </c>
      <c r="M308">
        <f>IF(I308="sell",N307+(N307*E308/100),IF(I308="buy",0,M307))</f>
        <v>0</v>
      </c>
      <c r="N308">
        <f>IF(I308="buy",M307,IF(I308="sell",0,IF(AND(I308="keep",N307&lt;&gt;0),N307+(N307*E307/100),N307)))</f>
        <v>1620.3723184688633</v>
      </c>
      <c r="O308">
        <f>O307+(O307*E308/100)</f>
        <v>1481.8860618472447</v>
      </c>
    </row>
    <row r="309" spans="1:15" x14ac:dyDescent="0.25">
      <c r="A309" s="1">
        <v>45523</v>
      </c>
      <c r="B309">
        <v>0.128069760938398</v>
      </c>
      <c r="C309">
        <v>1.3223489497076599</v>
      </c>
      <c r="D309">
        <v>-7.0780276692705701E-2</v>
      </c>
      <c r="E309">
        <v>1.3868481399694299</v>
      </c>
      <c r="F309" s="3">
        <v>0.24352046741876099</v>
      </c>
      <c r="G309" t="str">
        <f t="shared" si="28"/>
        <v>buy</v>
      </c>
      <c r="H309">
        <f t="shared" si="29"/>
        <v>1</v>
      </c>
      <c r="I309" t="str">
        <f t="shared" si="30"/>
        <v>keep</v>
      </c>
      <c r="J309">
        <f t="shared" si="26"/>
        <v>0</v>
      </c>
      <c r="K309">
        <f t="shared" si="27"/>
        <v>0</v>
      </c>
      <c r="L309">
        <f t="shared" si="31"/>
        <v>0</v>
      </c>
      <c r="M309">
        <f>IF(I309="sell",N308+(N308*E309/100),IF(I309="buy",0,M308))</f>
        <v>0</v>
      </c>
      <c r="N309">
        <f>IF(I309="buy",M308,IF(I309="sell",0,IF(AND(I309="keep",N308&lt;&gt;0),N308+(N308*E308/100),N308)))</f>
        <v>1618.4619969104053</v>
      </c>
      <c r="O309">
        <f>O308+(O308*E309/100)</f>
        <v>1502.4375711324394</v>
      </c>
    </row>
    <row r="310" spans="1:15" x14ac:dyDescent="0.25">
      <c r="A310" s="1">
        <v>45524</v>
      </c>
      <c r="B310">
        <v>0.379726589439077</v>
      </c>
      <c r="C310">
        <v>-0.23610626530874401</v>
      </c>
      <c r="D310">
        <v>0.27445680268796102</v>
      </c>
      <c r="E310">
        <v>0.78579641964540103</v>
      </c>
      <c r="F310" s="3">
        <v>0.21204071147583201</v>
      </c>
      <c r="G310" t="str">
        <f t="shared" si="28"/>
        <v>buy</v>
      </c>
      <c r="H310">
        <f t="shared" si="29"/>
        <v>1</v>
      </c>
      <c r="I310" t="str">
        <f t="shared" si="30"/>
        <v>keep</v>
      </c>
      <c r="J310">
        <f t="shared" si="26"/>
        <v>0</v>
      </c>
      <c r="K310">
        <f t="shared" si="27"/>
        <v>0</v>
      </c>
      <c r="L310">
        <f t="shared" si="31"/>
        <v>0</v>
      </c>
      <c r="M310">
        <f>IF(I310="sell",N309+(N309*E310/100),IF(I310="buy",0,M309))</f>
        <v>0</v>
      </c>
      <c r="N310">
        <f>IF(I310="buy",M309,IF(I310="sell",0,IF(AND(I310="keep",N309&lt;&gt;0),N309+(N309*E309/100),N309)))</f>
        <v>1640.9076070106694</v>
      </c>
      <c r="O310">
        <f>O309+(O309*E310/100)</f>
        <v>1514.2436717738055</v>
      </c>
    </row>
    <row r="311" spans="1:15" x14ac:dyDescent="0.25">
      <c r="A311" s="1">
        <v>45525</v>
      </c>
      <c r="B311">
        <v>-0.115483870026933</v>
      </c>
      <c r="C311">
        <v>0.53255825654470101</v>
      </c>
      <c r="D311">
        <v>-4.8552038918048199E-2</v>
      </c>
      <c r="E311">
        <v>1.8769772989771301</v>
      </c>
      <c r="F311" s="3">
        <v>0.125284313871385</v>
      </c>
      <c r="G311" t="str">
        <f t="shared" si="28"/>
        <v>keep</v>
      </c>
      <c r="H311">
        <f t="shared" si="29"/>
        <v>1</v>
      </c>
      <c r="I311" t="str">
        <f t="shared" si="30"/>
        <v>keep</v>
      </c>
      <c r="J311">
        <f t="shared" si="26"/>
        <v>0</v>
      </c>
      <c r="K311">
        <f t="shared" si="27"/>
        <v>0</v>
      </c>
      <c r="L311">
        <f t="shared" si="31"/>
        <v>0</v>
      </c>
      <c r="M311">
        <f>IF(I311="sell",N310+(N310*E311/100),IF(I311="buy",0,M310))</f>
        <v>0</v>
      </c>
      <c r="N311">
        <f>IF(I311="buy",M310,IF(I311="sell",0,IF(AND(I311="keep",N310&lt;&gt;0),N310+(N310*E310/100),N310)))</f>
        <v>1653.8018002362483</v>
      </c>
      <c r="O311">
        <f>O310+(O310*E311/100)</f>
        <v>1542.6656817441976</v>
      </c>
    </row>
    <row r="312" spans="1:15" x14ac:dyDescent="0.25">
      <c r="A312" s="1">
        <v>45526</v>
      </c>
      <c r="B312">
        <v>-1.17604852290243</v>
      </c>
      <c r="C312">
        <v>-1.67971092137212</v>
      </c>
      <c r="D312">
        <v>-0.825975372355503</v>
      </c>
      <c r="E312">
        <v>0.62359376388105803</v>
      </c>
      <c r="F312" s="3">
        <v>-0.44152371746017</v>
      </c>
      <c r="G312" t="str">
        <f t="shared" si="28"/>
        <v>sell</v>
      </c>
      <c r="H312">
        <f t="shared" si="29"/>
        <v>0</v>
      </c>
      <c r="I312" t="str">
        <f t="shared" si="30"/>
        <v>sell</v>
      </c>
      <c r="J312">
        <f t="shared" si="26"/>
        <v>0</v>
      </c>
      <c r="K312">
        <f t="shared" si="27"/>
        <v>1</v>
      </c>
      <c r="L312">
        <f t="shared" si="31"/>
        <v>0</v>
      </c>
      <c r="M312">
        <f>IF(I312="sell",N311+(N311*E312/100),IF(I312="buy",0,M311))</f>
        <v>1664.1148051294742</v>
      </c>
      <c r="N312">
        <f>IF(I312="buy",M311,IF(I312="sell",0,IF(AND(I312="keep",N311&lt;&gt;0),N311+(N311*E311/100),N311)))</f>
        <v>0</v>
      </c>
      <c r="O312">
        <f>O311+(O311*E312/100)</f>
        <v>1552.2856487330876</v>
      </c>
    </row>
    <row r="313" spans="1:15" x14ac:dyDescent="0.25">
      <c r="A313" s="1">
        <v>45527</v>
      </c>
      <c r="B313">
        <v>1.1900440179980001</v>
      </c>
      <c r="C313">
        <v>1.17500091685001</v>
      </c>
      <c r="D313">
        <v>1.02881630119693</v>
      </c>
      <c r="E313">
        <v>1.1267670029126</v>
      </c>
      <c r="F313" s="3">
        <v>0.64370751185535102</v>
      </c>
      <c r="G313" t="str">
        <f t="shared" si="28"/>
        <v>buy</v>
      </c>
      <c r="H313">
        <f t="shared" si="29"/>
        <v>1</v>
      </c>
      <c r="I313" t="str">
        <f t="shared" si="30"/>
        <v>buy</v>
      </c>
      <c r="J313">
        <f t="shared" si="26"/>
        <v>1</v>
      </c>
      <c r="K313">
        <f t="shared" si="27"/>
        <v>0</v>
      </c>
      <c r="L313">
        <f t="shared" si="31"/>
        <v>1</v>
      </c>
      <c r="M313">
        <f>IF(I313="sell",N312+(N312*E313/100),IF(I313="buy",0,M312))</f>
        <v>0</v>
      </c>
      <c r="N313">
        <f>IF(I313="buy",M312,IF(I313="sell",0,IF(AND(I313="keep",N312&lt;&gt;0),N312+(N312*E312/100),N312)))</f>
        <v>1664.1148051294742</v>
      </c>
      <c r="O313">
        <f>O312+(O312*E313/100)</f>
        <v>1569.7762912139597</v>
      </c>
    </row>
    <row r="314" spans="1:15" x14ac:dyDescent="0.25">
      <c r="A314" s="1">
        <v>45530</v>
      </c>
      <c r="B314">
        <v>0.37075622668600799</v>
      </c>
      <c r="C314">
        <v>-1.03661601343357</v>
      </c>
      <c r="D314">
        <v>0.149888506978435</v>
      </c>
      <c r="E314">
        <v>1.25346531456063</v>
      </c>
      <c r="F314" s="3">
        <v>0.13935782064601199</v>
      </c>
      <c r="G314" t="str">
        <f t="shared" si="28"/>
        <v>keep</v>
      </c>
      <c r="H314">
        <f t="shared" si="29"/>
        <v>0</v>
      </c>
      <c r="I314" t="str">
        <f t="shared" si="30"/>
        <v>keep</v>
      </c>
      <c r="J314">
        <f t="shared" si="26"/>
        <v>0</v>
      </c>
      <c r="K314">
        <f t="shared" si="27"/>
        <v>0</v>
      </c>
      <c r="L314">
        <f t="shared" si="31"/>
        <v>0</v>
      </c>
      <c r="M314">
        <f>IF(I314="sell",N313+(N313*E314/100),IF(I314="buy",0,M313))</f>
        <v>0</v>
      </c>
      <c r="N314">
        <f>IF(I314="buy",M313,IF(I314="sell",0,IF(AND(I314="keep",N313&lt;&gt;0),N313+(N313*E313/100),N313)))</f>
        <v>1682.8655016442565</v>
      </c>
      <c r="O314">
        <f>O313+(O313*E314/100)</f>
        <v>1589.452892540523</v>
      </c>
    </row>
    <row r="315" spans="1:15" x14ac:dyDescent="0.25">
      <c r="A315" s="1">
        <v>45531</v>
      </c>
      <c r="B315">
        <v>-6.7520006547394595E-2</v>
      </c>
      <c r="C315">
        <v>0.33346286489044302</v>
      </c>
      <c r="D315">
        <v>0.37414693512647301</v>
      </c>
      <c r="E315">
        <v>-0.24758521382214299</v>
      </c>
      <c r="F315" s="3">
        <v>0.19114275909317699</v>
      </c>
      <c r="G315" t="str">
        <f t="shared" si="28"/>
        <v>buy</v>
      </c>
      <c r="H315">
        <f t="shared" si="29"/>
        <v>0</v>
      </c>
      <c r="I315" t="str">
        <f t="shared" si="30"/>
        <v>keep</v>
      </c>
      <c r="J315">
        <f t="shared" si="26"/>
        <v>0</v>
      </c>
      <c r="K315">
        <f t="shared" si="27"/>
        <v>0</v>
      </c>
      <c r="L315">
        <f t="shared" si="31"/>
        <v>0</v>
      </c>
      <c r="M315">
        <f>IF(I315="sell",N314+(N314*E315/100),IF(I315="buy",0,M314))</f>
        <v>0</v>
      </c>
      <c r="N315">
        <f>IF(I315="buy",M314,IF(I315="sell",0,IF(AND(I315="keep",N314&lt;&gt;0),N314+(N314*E314/100),N314)))</f>
        <v>1703.9596369980741</v>
      </c>
      <c r="O315">
        <f>O314+(O314*E315/100)</f>
        <v>1585.5176421979243</v>
      </c>
    </row>
    <row r="316" spans="1:15" x14ac:dyDescent="0.25">
      <c r="A316" s="1">
        <v>45532</v>
      </c>
      <c r="B316">
        <v>-0.59618441971382996</v>
      </c>
      <c r="C316">
        <v>-1.17835714438179</v>
      </c>
      <c r="D316">
        <v>-0.67533889585027396</v>
      </c>
      <c r="E316">
        <v>-0.16546647975246201</v>
      </c>
      <c r="F316" s="3">
        <v>-0.22391240726942099</v>
      </c>
      <c r="G316" t="str">
        <f t="shared" si="28"/>
        <v>sell</v>
      </c>
      <c r="H316">
        <f t="shared" si="29"/>
        <v>1</v>
      </c>
      <c r="I316" t="str">
        <f t="shared" si="30"/>
        <v>sell</v>
      </c>
      <c r="J316">
        <f t="shared" si="26"/>
        <v>0</v>
      </c>
      <c r="K316">
        <f t="shared" si="27"/>
        <v>1</v>
      </c>
      <c r="L316">
        <f t="shared" si="31"/>
        <v>1</v>
      </c>
      <c r="M316">
        <f>IF(I316="sell",N315+(N315*E316/100),IF(I316="buy",0,M315))</f>
        <v>1701.1401549703305</v>
      </c>
      <c r="N316">
        <f>IF(I316="buy",M315,IF(I316="sell",0,IF(AND(I316="keep",N315&lt;&gt;0),N315+(N315*E315/100),N315)))</f>
        <v>0</v>
      </c>
      <c r="O316">
        <f>O315+(O315*E316/100)</f>
        <v>1582.8941419695252</v>
      </c>
    </row>
    <row r="317" spans="1:15" x14ac:dyDescent="0.25">
      <c r="A317" s="1">
        <v>45533</v>
      </c>
      <c r="B317">
        <v>0.98760300567273196</v>
      </c>
      <c r="C317">
        <v>-0.13089952469815799</v>
      </c>
      <c r="D317">
        <v>1.45700797686749</v>
      </c>
      <c r="E317">
        <v>-1.32596997473359</v>
      </c>
      <c r="F317" s="3">
        <v>0.55298905504437501</v>
      </c>
      <c r="G317" t="str">
        <f t="shared" si="28"/>
        <v>buy</v>
      </c>
      <c r="H317">
        <f t="shared" si="29"/>
        <v>1</v>
      </c>
      <c r="I317" t="str">
        <f t="shared" si="30"/>
        <v>buy</v>
      </c>
      <c r="J317">
        <f t="shared" si="26"/>
        <v>1</v>
      </c>
      <c r="K317">
        <f t="shared" si="27"/>
        <v>0</v>
      </c>
      <c r="L317">
        <f t="shared" si="31"/>
        <v>1</v>
      </c>
      <c r="M317">
        <f>IF(I317="sell",N316+(N316*E317/100),IF(I317="buy",0,M316))</f>
        <v>0</v>
      </c>
      <c r="N317">
        <f>IF(I317="buy",M316,IF(I317="sell",0,IF(AND(I317="keep",N316&lt;&gt;0),N316+(N316*E316/100),N316)))</f>
        <v>1701.1401549703305</v>
      </c>
      <c r="O317">
        <f>O316+(O316*E317/100)</f>
        <v>1561.9054409151925</v>
      </c>
    </row>
    <row r="318" spans="1:15" x14ac:dyDescent="0.25">
      <c r="A318" s="1">
        <v>45534</v>
      </c>
      <c r="B318">
        <v>-1.26301235144534</v>
      </c>
      <c r="C318">
        <v>1.2894469020064501</v>
      </c>
      <c r="D318">
        <v>-0.34378086971177302</v>
      </c>
      <c r="E318">
        <v>1.4277721675305599</v>
      </c>
      <c r="F318" s="3">
        <v>-0.11863191858918801</v>
      </c>
      <c r="G318" t="str">
        <f t="shared" si="28"/>
        <v>keep</v>
      </c>
      <c r="H318">
        <f t="shared" si="29"/>
        <v>1</v>
      </c>
      <c r="I318" t="str">
        <f t="shared" si="30"/>
        <v>keep</v>
      </c>
      <c r="J318">
        <f t="shared" si="26"/>
        <v>0</v>
      </c>
      <c r="K318">
        <f t="shared" si="27"/>
        <v>0</v>
      </c>
      <c r="L318">
        <f t="shared" si="31"/>
        <v>0</v>
      </c>
      <c r="M318">
        <f>IF(I318="sell",N317+(N317*E318/100),IF(I318="buy",0,M317))</f>
        <v>0</v>
      </c>
      <c r="N318">
        <f>IF(I318="buy",M317,IF(I318="sell",0,IF(AND(I318="keep",N317&lt;&gt;0),N317+(N317*E317/100),N317)))</f>
        <v>1678.5835472872875</v>
      </c>
      <c r="O318">
        <f>O317+(O317*E318/100)</f>
        <v>1584.2058920837251</v>
      </c>
    </row>
    <row r="319" spans="1:15" x14ac:dyDescent="0.25">
      <c r="A319" s="1">
        <v>45539</v>
      </c>
      <c r="B319">
        <v>0.14056789980614301</v>
      </c>
      <c r="C319">
        <v>-0.196953190393411</v>
      </c>
      <c r="D319">
        <v>-0.86187592003748004</v>
      </c>
      <c r="E319">
        <v>-0.71135783737241698</v>
      </c>
      <c r="F319" s="3">
        <v>-7.1484964889388597E-3</v>
      </c>
      <c r="G319" t="str">
        <f t="shared" si="28"/>
        <v>keep</v>
      </c>
      <c r="H319">
        <f t="shared" si="29"/>
        <v>0</v>
      </c>
      <c r="I319" t="str">
        <f t="shared" si="30"/>
        <v>keep</v>
      </c>
      <c r="J319">
        <f t="shared" si="26"/>
        <v>0</v>
      </c>
      <c r="K319">
        <f t="shared" si="27"/>
        <v>0</v>
      </c>
      <c r="L319">
        <f t="shared" si="31"/>
        <v>0</v>
      </c>
      <c r="M319">
        <f>IF(I319="sell",N318+(N318*E319/100),IF(I319="buy",0,M318))</f>
        <v>0</v>
      </c>
      <c r="N319">
        <f>IF(I319="buy",M318,IF(I319="sell",0,IF(AND(I319="keep",N318&lt;&gt;0),N318+(N318*E318/100),N318)))</f>
        <v>1702.5498959842025</v>
      </c>
      <c r="O319">
        <f>O318+(O318*E319/100)</f>
        <v>1572.9365193102719</v>
      </c>
    </row>
    <row r="320" spans="1:15" x14ac:dyDescent="0.25">
      <c r="A320" s="1">
        <v>45540</v>
      </c>
      <c r="B320">
        <v>0.72190585966898002</v>
      </c>
      <c r="C320">
        <v>4.7193586709504097E-2</v>
      </c>
      <c r="D320">
        <v>0.69276447536397101</v>
      </c>
      <c r="E320">
        <v>2.7555794090939401</v>
      </c>
      <c r="F320" s="3">
        <v>0.40648375299870398</v>
      </c>
      <c r="G320" t="str">
        <f t="shared" si="28"/>
        <v>buy</v>
      </c>
      <c r="H320">
        <f t="shared" si="29"/>
        <v>1</v>
      </c>
      <c r="I320" t="str">
        <f t="shared" si="30"/>
        <v>keep</v>
      </c>
      <c r="J320">
        <f t="shared" ref="J320:J383" si="32">IF(I320="buy",1,0)</f>
        <v>0</v>
      </c>
      <c r="K320">
        <f t="shared" ref="K320:K383" si="33">IF(I320="sell",1,0)</f>
        <v>0</v>
      </c>
      <c r="L320">
        <f t="shared" si="31"/>
        <v>0</v>
      </c>
      <c r="M320">
        <f>IF(I320="sell",N319+(N319*E320/100),IF(I320="buy",0,M319))</f>
        <v>0</v>
      </c>
      <c r="N320">
        <f>IF(I320="buy",M319,IF(I320="sell",0,IF(AND(I320="keep",N319&lt;&gt;0),N319+(N319*E319/100),N319)))</f>
        <v>1690.438673863943</v>
      </c>
      <c r="O320">
        <f>O319+(O319*E320/100)</f>
        <v>1616.2800341545046</v>
      </c>
    </row>
    <row r="321" spans="1:15" x14ac:dyDescent="0.25">
      <c r="A321" s="1">
        <v>45541</v>
      </c>
      <c r="B321">
        <v>-0.71274599983240905</v>
      </c>
      <c r="C321">
        <v>-2.6889099616820702</v>
      </c>
      <c r="D321">
        <v>-0.70149505949110802</v>
      </c>
      <c r="E321">
        <v>1.47493074435878</v>
      </c>
      <c r="F321" s="3">
        <v>-0.37920206794842198</v>
      </c>
      <c r="G321" t="str">
        <f t="shared" si="28"/>
        <v>sell</v>
      </c>
      <c r="H321">
        <f t="shared" si="29"/>
        <v>1</v>
      </c>
      <c r="I321" t="str">
        <f t="shared" si="30"/>
        <v>sell</v>
      </c>
      <c r="J321">
        <f t="shared" si="32"/>
        <v>0</v>
      </c>
      <c r="K321">
        <f t="shared" si="33"/>
        <v>1</v>
      </c>
      <c r="L321">
        <f t="shared" si="31"/>
        <v>1</v>
      </c>
      <c r="M321">
        <f>IF(I321="sell",N320+(N320*E321/100),IF(I321="buy",0,M320))</f>
        <v>1715.3714735792933</v>
      </c>
      <c r="N321">
        <f>IF(I321="buy",M320,IF(I321="sell",0,IF(AND(I321="keep",N320&lt;&gt;0),N320+(N320*E320/100),N320)))</f>
        <v>0</v>
      </c>
      <c r="O321">
        <f>O320+(O320*E321/100)</f>
        <v>1640.1190452931819</v>
      </c>
    </row>
    <row r="322" spans="1:15" x14ac:dyDescent="0.25">
      <c r="A322" s="1">
        <v>45544</v>
      </c>
      <c r="B322">
        <v>0.33286740838680501</v>
      </c>
      <c r="C322">
        <v>1.29995501346469</v>
      </c>
      <c r="D322">
        <v>4.0755572881589999E-2</v>
      </c>
      <c r="E322">
        <v>-0.58139498029546799</v>
      </c>
      <c r="F322" s="3">
        <v>0.32371578230018599</v>
      </c>
      <c r="G322" t="str">
        <f t="shared" si="28"/>
        <v>buy</v>
      </c>
      <c r="H322">
        <f t="shared" si="29"/>
        <v>1</v>
      </c>
      <c r="I322" t="str">
        <f t="shared" si="30"/>
        <v>buy</v>
      </c>
      <c r="J322">
        <f t="shared" si="32"/>
        <v>1</v>
      </c>
      <c r="K322">
        <f t="shared" si="33"/>
        <v>0</v>
      </c>
      <c r="L322">
        <f t="shared" si="31"/>
        <v>1</v>
      </c>
      <c r="M322">
        <f>IF(I322="sell",N321+(N321*E322/100),IF(I322="buy",0,M321))</f>
        <v>0</v>
      </c>
      <c r="N322">
        <f>IF(I322="buy",M321,IF(I322="sell",0,IF(AND(I322="keep",N321&lt;&gt;0),N321+(N321*E321/100),N321)))</f>
        <v>1715.3714735792933</v>
      </c>
      <c r="O322">
        <f>O321+(O321*E322/100)</f>
        <v>1630.5834754929774</v>
      </c>
    </row>
    <row r="323" spans="1:15" x14ac:dyDescent="0.25">
      <c r="A323" s="1">
        <v>45545</v>
      </c>
      <c r="B323">
        <v>0.41969780938002599</v>
      </c>
      <c r="C323">
        <v>0.90222024196595596</v>
      </c>
      <c r="D323">
        <v>-0.36213575002595999</v>
      </c>
      <c r="E323">
        <v>1.7012197370394</v>
      </c>
      <c r="F323" s="3">
        <v>0.258981602147413</v>
      </c>
      <c r="G323" t="str">
        <f t="shared" ref="G323:G386" si="34">IF(F323&gt;$R$2,"buy",IF(F323&lt;-$R$3,"sell","keep"))</f>
        <v>buy</v>
      </c>
      <c r="H323">
        <f t="shared" ref="H323:H386" si="35">IF(F323&lt;&gt;"",IF(OR(AND(F323&lt;0,E324&lt;0),AND(F323&gt;0,E324&gt;0)),1,0),"")</f>
        <v>0</v>
      </c>
      <c r="I323" t="str">
        <f t="shared" ref="I323:I386" si="36">IF(AND(G323="sell",N322&lt;&gt;0),"sell",IF(AND(G323="buy",M322&lt;&gt;0),"buy","keep"))</f>
        <v>keep</v>
      </c>
      <c r="J323">
        <f t="shared" si="32"/>
        <v>0</v>
      </c>
      <c r="K323">
        <f t="shared" si="33"/>
        <v>0</v>
      </c>
      <c r="L323">
        <f t="shared" ref="L323:L386" si="37">IF(AND(H323=1,OR(J323=1,K323=1)),1,0)</f>
        <v>0</v>
      </c>
      <c r="M323">
        <f>IF(I323="sell",N322+(N322*E323/100),IF(I323="buy",0,M322))</f>
        <v>0</v>
      </c>
      <c r="N323">
        <f>IF(I323="buy",M322,IF(I323="sell",0,IF(AND(I323="keep",N322&lt;&gt;0),N322+(N322*E322/100),N322)))</f>
        <v>1705.3983899384828</v>
      </c>
      <c r="O323">
        <f>O322+(O322*E323/100)</f>
        <v>1658.323283406967</v>
      </c>
    </row>
    <row r="324" spans="1:15" x14ac:dyDescent="0.25">
      <c r="A324" s="1">
        <v>45546</v>
      </c>
      <c r="B324">
        <v>-7.9588889857484003E-3</v>
      </c>
      <c r="C324">
        <v>2.16770464663731</v>
      </c>
      <c r="D324">
        <v>1.1585148211148599</v>
      </c>
      <c r="E324">
        <v>-1.2284338883747401</v>
      </c>
      <c r="F324" s="3">
        <v>0.49260903029713998</v>
      </c>
      <c r="G324" t="str">
        <f t="shared" si="34"/>
        <v>buy</v>
      </c>
      <c r="H324">
        <f t="shared" si="35"/>
        <v>1</v>
      </c>
      <c r="I324" t="str">
        <f t="shared" si="36"/>
        <v>keep</v>
      </c>
      <c r="J324">
        <f t="shared" si="32"/>
        <v>0</v>
      </c>
      <c r="K324">
        <f t="shared" si="33"/>
        <v>0</v>
      </c>
      <c r="L324">
        <f t="shared" si="37"/>
        <v>0</v>
      </c>
      <c r="M324">
        <f>IF(I324="sell",N323+(N323*E324/100),IF(I324="buy",0,M323))</f>
        <v>0</v>
      </c>
      <c r="N324">
        <f>IF(I324="buy",M323,IF(I324="sell",0,IF(AND(I324="keep",N323&lt;&gt;0),N323+(N323*E323/100),N323)))</f>
        <v>1734.4109639432684</v>
      </c>
      <c r="O324">
        <f>O323+(O323*E324/100)</f>
        <v>1637.951878214787</v>
      </c>
    </row>
    <row r="325" spans="1:15" x14ac:dyDescent="0.25">
      <c r="A325" s="1">
        <v>45547</v>
      </c>
      <c r="B325">
        <v>1.5564608095077299</v>
      </c>
      <c r="C325">
        <v>0.96567358052157504</v>
      </c>
      <c r="D325">
        <v>4.9405323645879101E-2</v>
      </c>
      <c r="E325">
        <v>0.18523551304365701</v>
      </c>
      <c r="F325" s="3">
        <v>0.58822460054270997</v>
      </c>
      <c r="G325" t="str">
        <f t="shared" si="34"/>
        <v>buy</v>
      </c>
      <c r="H325">
        <f t="shared" si="35"/>
        <v>1</v>
      </c>
      <c r="I325" t="str">
        <f t="shared" si="36"/>
        <v>keep</v>
      </c>
      <c r="J325">
        <f t="shared" si="32"/>
        <v>0</v>
      </c>
      <c r="K325">
        <f t="shared" si="33"/>
        <v>0</v>
      </c>
      <c r="L325">
        <f t="shared" si="37"/>
        <v>0</v>
      </c>
      <c r="M325">
        <f>IF(I325="sell",N324+(N324*E325/100),IF(I325="buy",0,M324))</f>
        <v>0</v>
      </c>
      <c r="N325">
        <f>IF(I325="buy",M324,IF(I325="sell",0,IF(AND(I325="keep",N324&lt;&gt;0),N324+(N324*E324/100),N324)))</f>
        <v>1713.1048718985023</v>
      </c>
      <c r="O325">
        <f>O324+(O324*E325/100)</f>
        <v>1640.9859467798065</v>
      </c>
    </row>
    <row r="326" spans="1:15" x14ac:dyDescent="0.25">
      <c r="A326" s="1">
        <v>45548</v>
      </c>
      <c r="B326">
        <v>1.1798407899162799</v>
      </c>
      <c r="C326">
        <v>0.47118982620941702</v>
      </c>
      <c r="D326">
        <v>-0.121203346165665</v>
      </c>
      <c r="E326">
        <v>1.0565195065309601</v>
      </c>
      <c r="F326" s="3">
        <v>0.43447515171991202</v>
      </c>
      <c r="G326" t="str">
        <f t="shared" si="34"/>
        <v>buy</v>
      </c>
      <c r="H326">
        <f t="shared" si="35"/>
        <v>1</v>
      </c>
      <c r="I326" t="str">
        <f t="shared" si="36"/>
        <v>keep</v>
      </c>
      <c r="J326">
        <f t="shared" si="32"/>
        <v>0</v>
      </c>
      <c r="K326">
        <f t="shared" si="33"/>
        <v>0</v>
      </c>
      <c r="L326">
        <f t="shared" si="37"/>
        <v>0</v>
      </c>
      <c r="M326">
        <f>IF(I326="sell",N325+(N325*E326/100),IF(I326="buy",0,M325))</f>
        <v>0</v>
      </c>
      <c r="N326">
        <f>IF(I326="buy",M325,IF(I326="sell",0,IF(AND(I326="keep",N325&lt;&gt;0),N325+(N325*E325/100),N325)))</f>
        <v>1716.2781504969394</v>
      </c>
      <c r="O326">
        <f>O325+(O325*E326/100)</f>
        <v>1658.3232834069668</v>
      </c>
    </row>
    <row r="327" spans="1:15" x14ac:dyDescent="0.25">
      <c r="A327" s="1">
        <v>45551</v>
      </c>
      <c r="B327">
        <v>-3.4871826883653402E-2</v>
      </c>
      <c r="C327">
        <v>-0.469030082660504</v>
      </c>
      <c r="D327">
        <v>-2.77752892986316</v>
      </c>
      <c r="E327">
        <v>1.2807096717095401</v>
      </c>
      <c r="F327" s="3">
        <v>-0.35362521457336699</v>
      </c>
      <c r="G327" t="str">
        <f t="shared" si="34"/>
        <v>sell</v>
      </c>
      <c r="H327">
        <f t="shared" si="35"/>
        <v>0</v>
      </c>
      <c r="I327" t="str">
        <f t="shared" si="36"/>
        <v>sell</v>
      </c>
      <c r="J327">
        <f t="shared" si="32"/>
        <v>0</v>
      </c>
      <c r="K327">
        <f t="shared" si="33"/>
        <v>1</v>
      </c>
      <c r="L327">
        <f t="shared" si="37"/>
        <v>0</v>
      </c>
      <c r="M327">
        <f>IF(I327="sell",N326+(N326*E327/100),IF(I327="buy",0,M326))</f>
        <v>1738.2586907637913</v>
      </c>
      <c r="N327">
        <f>IF(I327="buy",M326,IF(I327="sell",0,IF(AND(I327="keep",N326&lt;&gt;0),N326+(N326*E326/100),N326)))</f>
        <v>0</v>
      </c>
      <c r="O327">
        <f>O326+(O326*E327/100)</f>
        <v>1679.5615900857711</v>
      </c>
    </row>
    <row r="328" spans="1:15" x14ac:dyDescent="0.25">
      <c r="A328" s="1">
        <v>45552</v>
      </c>
      <c r="B328">
        <v>-0.62392862055999898</v>
      </c>
      <c r="C328">
        <v>4.80863648005369E-2</v>
      </c>
      <c r="D328">
        <v>0.217259781566947</v>
      </c>
      <c r="E328">
        <v>0.15484424478533401</v>
      </c>
      <c r="F328" s="3">
        <v>1.34527130434692E-2</v>
      </c>
      <c r="G328" t="str">
        <f t="shared" si="34"/>
        <v>keep</v>
      </c>
      <c r="H328">
        <f t="shared" si="35"/>
        <v>1</v>
      </c>
      <c r="I328" t="str">
        <f t="shared" si="36"/>
        <v>keep</v>
      </c>
      <c r="J328">
        <f t="shared" si="32"/>
        <v>0</v>
      </c>
      <c r="K328">
        <f t="shared" si="33"/>
        <v>0</v>
      </c>
      <c r="L328">
        <f t="shared" si="37"/>
        <v>0</v>
      </c>
      <c r="M328">
        <f>IF(I328="sell",N327+(N327*E328/100),IF(I328="buy",0,M327))</f>
        <v>1738.2586907637913</v>
      </c>
      <c r="N328">
        <f>IF(I328="buy",M327,IF(I328="sell",0,IF(AND(I328="keep",N327&lt;&gt;0),N327+(N327*E327/100),N327)))</f>
        <v>0</v>
      </c>
      <c r="O328">
        <f>O327+(O327*E328/100)</f>
        <v>1682.1622945456438</v>
      </c>
    </row>
    <row r="329" spans="1:15" x14ac:dyDescent="0.25">
      <c r="A329" s="1">
        <v>45553</v>
      </c>
      <c r="B329">
        <v>0.24957696922693801</v>
      </c>
      <c r="C329">
        <v>-0.45238958894863102</v>
      </c>
      <c r="D329">
        <v>1.79898311421466</v>
      </c>
      <c r="E329">
        <v>2.5762324274625201E-2</v>
      </c>
      <c r="F329" s="3">
        <v>0.42627636796336599</v>
      </c>
      <c r="G329" t="str">
        <f t="shared" si="34"/>
        <v>buy</v>
      </c>
      <c r="H329">
        <f t="shared" si="35"/>
        <v>0</v>
      </c>
      <c r="I329" t="str">
        <f t="shared" si="36"/>
        <v>buy</v>
      </c>
      <c r="J329">
        <f t="shared" si="32"/>
        <v>1</v>
      </c>
      <c r="K329">
        <f t="shared" si="33"/>
        <v>0</v>
      </c>
      <c r="L329">
        <f t="shared" si="37"/>
        <v>0</v>
      </c>
      <c r="M329">
        <f>IF(I329="sell",N328+(N328*E329/100),IF(I329="buy",0,M328))</f>
        <v>0</v>
      </c>
      <c r="N329">
        <f>IF(I329="buy",M328,IF(I329="sell",0,IF(AND(I329="keep",N328&lt;&gt;0),N328+(N328*E328/100),N328)))</f>
        <v>1738.2586907637913</v>
      </c>
      <c r="O329">
        <f>O328+(O328*E329/100)</f>
        <v>1682.59565865079</v>
      </c>
    </row>
    <row r="330" spans="1:15" x14ac:dyDescent="0.25">
      <c r="A330" s="1">
        <v>45554</v>
      </c>
      <c r="B330">
        <v>0.67297036436471103</v>
      </c>
      <c r="C330">
        <v>2.5606249518520898</v>
      </c>
      <c r="D330">
        <v>3.7065474971210901</v>
      </c>
      <c r="E330">
        <v>-1.95775160764518</v>
      </c>
      <c r="F330" s="3">
        <v>1.06424249513028</v>
      </c>
      <c r="G330" t="str">
        <f t="shared" si="34"/>
        <v>buy</v>
      </c>
      <c r="H330">
        <f t="shared" si="35"/>
        <v>1</v>
      </c>
      <c r="I330" t="str">
        <f t="shared" si="36"/>
        <v>keep</v>
      </c>
      <c r="J330">
        <f t="shared" si="32"/>
        <v>0</v>
      </c>
      <c r="K330">
        <f t="shared" si="33"/>
        <v>0</v>
      </c>
      <c r="L330">
        <f t="shared" si="37"/>
        <v>0</v>
      </c>
      <c r="M330">
        <f>IF(I330="sell",N329+(N329*E330/100),IF(I330="buy",0,M329))</f>
        <v>0</v>
      </c>
      <c r="N330">
        <f>IF(I330="buy",M329,IF(I330="sell",0,IF(AND(I330="keep",N329&lt;&gt;0),N329+(N329*E329/100),N329)))</f>
        <v>1738.7065066044377</v>
      </c>
      <c r="O330">
        <f>O329+(O329*E330/100)</f>
        <v>1649.6546150933862</v>
      </c>
    </row>
    <row r="331" spans="1:15" x14ac:dyDescent="0.25">
      <c r="A331" s="1">
        <v>45555</v>
      </c>
      <c r="B331">
        <v>1.2326082822160001</v>
      </c>
      <c r="C331">
        <v>-0.243650492769587</v>
      </c>
      <c r="D331">
        <v>-0.29273333837961302</v>
      </c>
      <c r="E331">
        <v>0.36784288508144802</v>
      </c>
      <c r="F331" s="3">
        <v>0.355985073391551</v>
      </c>
      <c r="G331" t="str">
        <f t="shared" si="34"/>
        <v>buy</v>
      </c>
      <c r="H331">
        <f t="shared" si="35"/>
        <v>1</v>
      </c>
      <c r="I331" t="str">
        <f t="shared" si="36"/>
        <v>keep</v>
      </c>
      <c r="J331">
        <f t="shared" si="32"/>
        <v>0</v>
      </c>
      <c r="K331">
        <f t="shared" si="33"/>
        <v>0</v>
      </c>
      <c r="L331">
        <f t="shared" si="37"/>
        <v>0</v>
      </c>
      <c r="M331">
        <f>IF(I331="sell",N330+(N330*E331/100),IF(I331="buy",0,M330))</f>
        <v>0</v>
      </c>
      <c r="N331">
        <f>IF(I331="buy",M330,IF(I331="sell",0,IF(AND(I331="keep",N330&lt;&gt;0),N330+(N330*E330/100),N330)))</f>
        <v>1704.6669520191579</v>
      </c>
      <c r="O331">
        <f>O330+(O330*E331/100)</f>
        <v>1655.722752223425</v>
      </c>
    </row>
    <row r="332" spans="1:15" x14ac:dyDescent="0.25">
      <c r="A332" s="1">
        <v>45558</v>
      </c>
      <c r="B332">
        <v>0.25192174900825398</v>
      </c>
      <c r="C332">
        <v>0.30674286603016299</v>
      </c>
      <c r="D332">
        <v>-0.75810844804455801</v>
      </c>
      <c r="E332">
        <v>0.49737378561982498</v>
      </c>
      <c r="F332" s="3">
        <v>0.11043838662953499</v>
      </c>
      <c r="G332" t="str">
        <f t="shared" si="34"/>
        <v>keep</v>
      </c>
      <c r="H332">
        <f t="shared" si="35"/>
        <v>0</v>
      </c>
      <c r="I332" t="str">
        <f t="shared" si="36"/>
        <v>keep</v>
      </c>
      <c r="J332">
        <f t="shared" si="32"/>
        <v>0</v>
      </c>
      <c r="K332">
        <f t="shared" si="33"/>
        <v>0</v>
      </c>
      <c r="L332">
        <f t="shared" si="37"/>
        <v>0</v>
      </c>
      <c r="M332">
        <f>IF(I332="sell",N331+(N331*E332/100),IF(I332="buy",0,M331))</f>
        <v>0</v>
      </c>
      <c r="N332">
        <f>IF(I332="buy",M331,IF(I332="sell",0,IF(AND(I332="keep",N331&lt;&gt;0),N331+(N331*E331/100),N331)))</f>
        <v>1710.937448116495</v>
      </c>
      <c r="O332">
        <f>O331+(O331*E332/100)</f>
        <v>1663.9578831555275</v>
      </c>
    </row>
    <row r="333" spans="1:15" x14ac:dyDescent="0.25">
      <c r="A333" s="1">
        <v>45559</v>
      </c>
      <c r="B333">
        <v>0.94041314189510194</v>
      </c>
      <c r="C333">
        <v>0.46665169928630201</v>
      </c>
      <c r="D333">
        <v>0.39740831212349198</v>
      </c>
      <c r="E333">
        <v>-5.2098763760799402E-2</v>
      </c>
      <c r="F333" s="3">
        <v>0.450656394588142</v>
      </c>
      <c r="G333" t="str">
        <f t="shared" si="34"/>
        <v>buy</v>
      </c>
      <c r="H333">
        <f t="shared" si="35"/>
        <v>1</v>
      </c>
      <c r="I333" t="str">
        <f t="shared" si="36"/>
        <v>keep</v>
      </c>
      <c r="J333">
        <f t="shared" si="32"/>
        <v>0</v>
      </c>
      <c r="K333">
        <f t="shared" si="33"/>
        <v>0</v>
      </c>
      <c r="L333">
        <f t="shared" si="37"/>
        <v>0</v>
      </c>
      <c r="M333">
        <f>IF(I333="sell",N332+(N332*E333/100),IF(I333="buy",0,M332))</f>
        <v>0</v>
      </c>
      <c r="N333">
        <f>IF(I333="buy",M332,IF(I333="sell",0,IF(AND(I333="keep",N332&lt;&gt;0),N332+(N332*E332/100),N332)))</f>
        <v>1719.4472024717793</v>
      </c>
      <c r="O333">
        <f>O332+(O332*E333/100)</f>
        <v>1663.0909816689032</v>
      </c>
    </row>
    <row r="334" spans="1:15" x14ac:dyDescent="0.25">
      <c r="A334" s="1">
        <v>45560</v>
      </c>
      <c r="B334">
        <v>0.30175015643252301</v>
      </c>
      <c r="C334">
        <v>0.13923165825120401</v>
      </c>
      <c r="D334">
        <v>-0.43982367100478997</v>
      </c>
      <c r="E334">
        <v>0.62550062972028797</v>
      </c>
      <c r="F334" s="3">
        <v>0.149115241200108</v>
      </c>
      <c r="G334" t="str">
        <f t="shared" si="34"/>
        <v>keep</v>
      </c>
      <c r="H334">
        <f t="shared" si="35"/>
        <v>1</v>
      </c>
      <c r="I334" t="str">
        <f t="shared" si="36"/>
        <v>keep</v>
      </c>
      <c r="J334">
        <f t="shared" si="32"/>
        <v>0</v>
      </c>
      <c r="K334">
        <f t="shared" si="33"/>
        <v>0</v>
      </c>
      <c r="L334">
        <f t="shared" si="37"/>
        <v>0</v>
      </c>
      <c r="M334">
        <f>IF(I334="sell",N333+(N333*E334/100),IF(I334="buy",0,M333))</f>
        <v>0</v>
      </c>
      <c r="N334">
        <f>IF(I334="buy",M333,IF(I334="sell",0,IF(AND(I334="keep",N333&lt;&gt;0),N333+(N333*E333/100),N333)))</f>
        <v>1718.5513917357719</v>
      </c>
      <c r="O334">
        <f>O333+(O333*E334/100)</f>
        <v>1673.4936262320634</v>
      </c>
    </row>
    <row r="335" spans="1:15" x14ac:dyDescent="0.25">
      <c r="A335" s="1">
        <v>45561</v>
      </c>
      <c r="B335">
        <v>0.40237482582532402</v>
      </c>
      <c r="C335">
        <v>0.71562851311208697</v>
      </c>
      <c r="D335">
        <v>0.50802725909986302</v>
      </c>
      <c r="E335">
        <v>2.4345960896244399</v>
      </c>
      <c r="F335" s="3">
        <v>0.36817663548838397</v>
      </c>
      <c r="G335" t="str">
        <f t="shared" si="34"/>
        <v>buy</v>
      </c>
      <c r="H335">
        <f t="shared" si="35"/>
        <v>0</v>
      </c>
      <c r="I335" t="str">
        <f t="shared" si="36"/>
        <v>keep</v>
      </c>
      <c r="J335">
        <f t="shared" si="32"/>
        <v>0</v>
      </c>
      <c r="K335">
        <f t="shared" si="33"/>
        <v>0</v>
      </c>
      <c r="L335">
        <f t="shared" si="37"/>
        <v>0</v>
      </c>
      <c r="M335">
        <f>IF(I335="sell",N334+(N334*E335/100),IF(I335="buy",0,M334))</f>
        <v>0</v>
      </c>
      <c r="N335">
        <f>IF(I335="buy",M334,IF(I335="sell",0,IF(AND(I335="keep",N334&lt;&gt;0),N334+(N334*E334/100),N334)))</f>
        <v>1729.300941513146</v>
      </c>
      <c r="O335">
        <f>O334+(O334*E335/100)</f>
        <v>1714.2364366164236</v>
      </c>
    </row>
    <row r="336" spans="1:15" x14ac:dyDescent="0.25">
      <c r="A336" s="1">
        <v>45562</v>
      </c>
      <c r="B336">
        <v>-0.95883195820009004</v>
      </c>
      <c r="C336">
        <v>-0.53152899130763898</v>
      </c>
      <c r="D336">
        <v>0.118666212009954</v>
      </c>
      <c r="E336">
        <v>-0.12642171360403001</v>
      </c>
      <c r="F336" s="3">
        <v>-0.145608857080365</v>
      </c>
      <c r="G336" t="str">
        <f t="shared" si="34"/>
        <v>keep</v>
      </c>
      <c r="H336">
        <f t="shared" si="35"/>
        <v>1</v>
      </c>
      <c r="I336" t="str">
        <f t="shared" si="36"/>
        <v>keep</v>
      </c>
      <c r="J336">
        <f t="shared" si="32"/>
        <v>0</v>
      </c>
      <c r="K336">
        <f t="shared" si="33"/>
        <v>0</v>
      </c>
      <c r="L336">
        <f t="shared" si="37"/>
        <v>0</v>
      </c>
      <c r="M336">
        <f>IF(I336="sell",N335+(N335*E336/100),IF(I336="buy",0,M335))</f>
        <v>0</v>
      </c>
      <c r="N336">
        <f>IF(I336="buy",M335,IF(I336="sell",0,IF(AND(I336="keep",N335&lt;&gt;0),N335+(N335*E335/100),N335)))</f>
        <v>1771.4024346130636</v>
      </c>
      <c r="O336">
        <f>O335+(O335*E336/100)</f>
        <v>1712.0692695380285</v>
      </c>
    </row>
    <row r="337" spans="1:15" x14ac:dyDescent="0.25">
      <c r="A337" s="1">
        <v>45565</v>
      </c>
      <c r="B337">
        <v>-0.31009911963315501</v>
      </c>
      <c r="C337">
        <v>0.260239410496243</v>
      </c>
      <c r="D337">
        <v>2.28719643023505</v>
      </c>
      <c r="E337">
        <v>-0.50632696163744795</v>
      </c>
      <c r="F337" s="3">
        <v>0.38060858554285498</v>
      </c>
      <c r="G337" t="str">
        <f t="shared" si="34"/>
        <v>buy</v>
      </c>
      <c r="H337">
        <f t="shared" si="35"/>
        <v>0</v>
      </c>
      <c r="I337" t="str">
        <f t="shared" si="36"/>
        <v>keep</v>
      </c>
      <c r="J337">
        <f t="shared" si="32"/>
        <v>0</v>
      </c>
      <c r="K337">
        <f t="shared" si="33"/>
        <v>0</v>
      </c>
      <c r="L337">
        <f t="shared" si="37"/>
        <v>0</v>
      </c>
      <c r="M337">
        <f>IF(I337="sell",N336+(N336*E337/100),IF(I337="buy",0,M336))</f>
        <v>0</v>
      </c>
      <c r="N337">
        <f>IF(I337="buy",M336,IF(I337="sell",0,IF(AND(I337="keep",N336&lt;&gt;0),N336+(N336*E336/100),N336)))</f>
        <v>1769.1629973004024</v>
      </c>
      <c r="O337">
        <f>O336+(O336*E337/100)</f>
        <v>1703.4006012244481</v>
      </c>
    </row>
    <row r="338" spans="1:15" x14ac:dyDescent="0.25">
      <c r="A338" s="1">
        <v>45566</v>
      </c>
      <c r="B338">
        <v>1.1835647363927799</v>
      </c>
      <c r="C338">
        <v>-1.4325961854228799</v>
      </c>
      <c r="D338">
        <v>-2.9141559535553201</v>
      </c>
      <c r="E338">
        <v>-0.35623664366896102</v>
      </c>
      <c r="F338" s="3">
        <v>-0.10930320119988</v>
      </c>
      <c r="G338" t="str">
        <f t="shared" si="34"/>
        <v>keep</v>
      </c>
      <c r="H338">
        <f t="shared" si="35"/>
        <v>1</v>
      </c>
      <c r="I338" t="str">
        <f t="shared" si="36"/>
        <v>keep</v>
      </c>
      <c r="J338">
        <f t="shared" si="32"/>
        <v>0</v>
      </c>
      <c r="K338">
        <f t="shared" si="33"/>
        <v>0</v>
      </c>
      <c r="L338">
        <f t="shared" si="37"/>
        <v>0</v>
      </c>
      <c r="M338">
        <f>IF(I338="sell",N337+(N337*E338/100),IF(I338="buy",0,M337))</f>
        <v>0</v>
      </c>
      <c r="N338">
        <f>IF(I338="buy",M337,IF(I338="sell",0,IF(AND(I338="keep",N337&lt;&gt;0),N337+(N337*E337/100),N337)))</f>
        <v>1760.2052480497573</v>
      </c>
      <c r="O338">
        <f>O337+(O337*E338/100)</f>
        <v>1697.3324640944093</v>
      </c>
    </row>
    <row r="339" spans="1:15" x14ac:dyDescent="0.25">
      <c r="A339" s="1">
        <v>45567</v>
      </c>
      <c r="B339">
        <v>-0.75731829198405398</v>
      </c>
      <c r="C339">
        <v>0.14812429560457899</v>
      </c>
      <c r="D339">
        <v>0.251968313788975</v>
      </c>
      <c r="E339">
        <v>-2.0939768000160002</v>
      </c>
      <c r="F339" s="3">
        <v>-1.22769193816996E-2</v>
      </c>
      <c r="G339" t="str">
        <f t="shared" si="34"/>
        <v>keep</v>
      </c>
      <c r="H339">
        <f t="shared" si="35"/>
        <v>1</v>
      </c>
      <c r="I339" t="str">
        <f t="shared" si="36"/>
        <v>keep</v>
      </c>
      <c r="J339">
        <f t="shared" si="32"/>
        <v>0</v>
      </c>
      <c r="K339">
        <f t="shared" si="33"/>
        <v>0</v>
      </c>
      <c r="L339">
        <f t="shared" si="37"/>
        <v>0</v>
      </c>
      <c r="M339">
        <f>IF(I339="sell",N338+(N338*E339/100),IF(I339="buy",0,M338))</f>
        <v>0</v>
      </c>
      <c r="N339">
        <f>IF(I339="buy",M338,IF(I339="sell",0,IF(AND(I339="keep",N338&lt;&gt;0),N338+(N338*E338/100),N338)))</f>
        <v>1753.9347519524199</v>
      </c>
      <c r="O339">
        <f>O338+(O338*E339/100)</f>
        <v>1661.7907160771324</v>
      </c>
    </row>
    <row r="340" spans="1:15" x14ac:dyDescent="0.25">
      <c r="A340" s="1">
        <v>45568</v>
      </c>
      <c r="B340">
        <v>0.37777188738929901</v>
      </c>
      <c r="C340">
        <v>-4.6711061901427701E-2</v>
      </c>
      <c r="D340">
        <v>-0.48946219784481398</v>
      </c>
      <c r="E340">
        <v>-1.46061564846876</v>
      </c>
      <c r="F340" s="3">
        <v>0.13216532684159901</v>
      </c>
      <c r="G340" t="str">
        <f t="shared" si="34"/>
        <v>keep</v>
      </c>
      <c r="H340">
        <f t="shared" si="35"/>
        <v>1</v>
      </c>
      <c r="I340" t="str">
        <f t="shared" si="36"/>
        <v>keep</v>
      </c>
      <c r="J340">
        <f t="shared" si="32"/>
        <v>0</v>
      </c>
      <c r="K340">
        <f t="shared" si="33"/>
        <v>0</v>
      </c>
      <c r="L340">
        <f t="shared" si="37"/>
        <v>0</v>
      </c>
      <c r="M340">
        <f>IF(I340="sell",N339+(N339*E340/100),IF(I340="buy",0,M339))</f>
        <v>0</v>
      </c>
      <c r="N340">
        <f>IF(I340="buy",M339,IF(I340="sell",0,IF(AND(I340="keep",N339&lt;&gt;0),N339+(N339*E339/100),N339)))</f>
        <v>1717.207765159118</v>
      </c>
      <c r="O340">
        <f>O339+(O339*E340/100)</f>
        <v>1637.5183408333087</v>
      </c>
    </row>
    <row r="341" spans="1:15" x14ac:dyDescent="0.25">
      <c r="A341" s="1">
        <v>45569</v>
      </c>
      <c r="B341">
        <v>-0.42527749850644803</v>
      </c>
      <c r="C341">
        <v>1.2210151970705101</v>
      </c>
      <c r="D341">
        <v>0.50073639705332496</v>
      </c>
      <c r="E341">
        <v>0.89994750447312999</v>
      </c>
      <c r="F341" s="3">
        <v>0.209461362049054</v>
      </c>
      <c r="G341" t="str">
        <f t="shared" si="34"/>
        <v>buy</v>
      </c>
      <c r="H341">
        <f t="shared" si="35"/>
        <v>0</v>
      </c>
      <c r="I341" t="str">
        <f t="shared" si="36"/>
        <v>keep</v>
      </c>
      <c r="J341">
        <f t="shared" si="32"/>
        <v>0</v>
      </c>
      <c r="K341">
        <f t="shared" si="33"/>
        <v>0</v>
      </c>
      <c r="L341">
        <f t="shared" si="37"/>
        <v>0</v>
      </c>
      <c r="M341">
        <f>IF(I341="sell",N340+(N340*E341/100),IF(I341="buy",0,M340))</f>
        <v>0</v>
      </c>
      <c r="N341">
        <f>IF(I341="buy",M340,IF(I341="sell",0,IF(AND(I341="keep",N340&lt;&gt;0),N340+(N340*E340/100),N340)))</f>
        <v>1692.1259598244833</v>
      </c>
      <c r="O341">
        <f>O340+(O340*E341/100)</f>
        <v>1652.2551462769279</v>
      </c>
    </row>
    <row r="342" spans="1:15" x14ac:dyDescent="0.25">
      <c r="A342" s="1">
        <v>45572</v>
      </c>
      <c r="B342">
        <v>-3.7795751059988003E-2</v>
      </c>
      <c r="C342">
        <v>-1.1693489817146301</v>
      </c>
      <c r="D342">
        <v>-2.2530811449933998</v>
      </c>
      <c r="E342">
        <v>-2.0986375263400698</v>
      </c>
      <c r="F342" s="3">
        <v>-0.32966300943284499</v>
      </c>
      <c r="G342" t="str">
        <f t="shared" si="34"/>
        <v>sell</v>
      </c>
      <c r="H342">
        <f t="shared" si="35"/>
        <v>1</v>
      </c>
      <c r="I342" t="str">
        <f t="shared" si="36"/>
        <v>sell</v>
      </c>
      <c r="J342">
        <f t="shared" si="32"/>
        <v>0</v>
      </c>
      <c r="K342">
        <f t="shared" si="33"/>
        <v>1</v>
      </c>
      <c r="L342">
        <f t="shared" si="37"/>
        <v>1</v>
      </c>
      <c r="M342">
        <f>IF(I342="sell",N341+(N341*E342/100),IF(I342="buy",0,M341))</f>
        <v>1656.6143694386647</v>
      </c>
      <c r="N342">
        <f>IF(I342="buy",M341,IF(I342="sell",0,IF(AND(I342="keep",N341&lt;&gt;0),N341+(N341*E341/100),N341)))</f>
        <v>0</v>
      </c>
      <c r="O342">
        <f>O341+(O341*E342/100)</f>
        <v>1617.5802997462754</v>
      </c>
    </row>
    <row r="343" spans="1:15" x14ac:dyDescent="0.25">
      <c r="A343" s="1">
        <v>45573</v>
      </c>
      <c r="B343">
        <v>-1.12674108733962</v>
      </c>
      <c r="C343">
        <v>1.55064436412819</v>
      </c>
      <c r="D343">
        <v>1.84039750354527</v>
      </c>
      <c r="E343">
        <v>-5.3592485440157003E-2</v>
      </c>
      <c r="F343" s="3">
        <v>0.23529082140289301</v>
      </c>
      <c r="G343" t="str">
        <f t="shared" si="34"/>
        <v>buy</v>
      </c>
      <c r="H343">
        <f t="shared" si="35"/>
        <v>1</v>
      </c>
      <c r="I343" t="str">
        <f t="shared" si="36"/>
        <v>buy</v>
      </c>
      <c r="J343">
        <f t="shared" si="32"/>
        <v>1</v>
      </c>
      <c r="K343">
        <f t="shared" si="33"/>
        <v>0</v>
      </c>
      <c r="L343">
        <f t="shared" si="37"/>
        <v>1</v>
      </c>
      <c r="M343">
        <f>IF(I343="sell",N342+(N342*E343/100),IF(I343="buy",0,M342))</f>
        <v>0</v>
      </c>
      <c r="N343">
        <f>IF(I343="buy",M342,IF(I343="sell",0,IF(AND(I343="keep",N342&lt;&gt;0),N342+(N342*E342/100),N342)))</f>
        <v>1656.6143694386647</v>
      </c>
      <c r="O343">
        <f>O342+(O342*E343/100)</f>
        <v>1616.7133982596511</v>
      </c>
    </row>
    <row r="344" spans="1:15" x14ac:dyDescent="0.25">
      <c r="A344" s="1">
        <v>45574</v>
      </c>
      <c r="B344">
        <v>-0.34416826003823497</v>
      </c>
      <c r="C344">
        <v>0.80108338045083904</v>
      </c>
      <c r="D344">
        <v>1.6698478113989299</v>
      </c>
      <c r="E344">
        <v>1.9034837289117501</v>
      </c>
      <c r="F344" s="3">
        <v>0.34876108697678798</v>
      </c>
      <c r="G344" t="str">
        <f t="shared" si="34"/>
        <v>buy</v>
      </c>
      <c r="H344">
        <f t="shared" si="35"/>
        <v>0</v>
      </c>
      <c r="I344" t="str">
        <f t="shared" si="36"/>
        <v>keep</v>
      </c>
      <c r="J344">
        <f t="shared" si="32"/>
        <v>0</v>
      </c>
      <c r="K344">
        <f t="shared" si="33"/>
        <v>0</v>
      </c>
      <c r="L344">
        <f t="shared" si="37"/>
        <v>0</v>
      </c>
      <c r="M344">
        <f>IF(I344="sell",N343+(N343*E344/100),IF(I344="buy",0,M343))</f>
        <v>0</v>
      </c>
      <c r="N344">
        <f>IF(I344="buy",M343,IF(I344="sell",0,IF(AND(I344="keep",N343&lt;&gt;0),N343+(N343*E343/100),N343)))</f>
        <v>1655.7265486239237</v>
      </c>
      <c r="O344">
        <f>O343+(O343*E344/100)</f>
        <v>1647.4872747386598</v>
      </c>
    </row>
    <row r="345" spans="1:15" x14ac:dyDescent="0.25">
      <c r="A345" s="1">
        <v>45575</v>
      </c>
      <c r="B345">
        <v>0.56024933446854297</v>
      </c>
      <c r="C345">
        <v>-0.133700712376672</v>
      </c>
      <c r="D345">
        <v>-0.21782951820268301</v>
      </c>
      <c r="E345">
        <v>-1.71006917328724</v>
      </c>
      <c r="F345" s="3">
        <v>0.202182424365903</v>
      </c>
      <c r="G345" t="str">
        <f t="shared" si="34"/>
        <v>buy</v>
      </c>
      <c r="H345">
        <f t="shared" si="35"/>
        <v>1</v>
      </c>
      <c r="I345" t="str">
        <f t="shared" si="36"/>
        <v>keep</v>
      </c>
      <c r="J345">
        <f t="shared" si="32"/>
        <v>0</v>
      </c>
      <c r="K345">
        <f t="shared" si="33"/>
        <v>0</v>
      </c>
      <c r="L345">
        <f t="shared" si="37"/>
        <v>0</v>
      </c>
      <c r="M345">
        <f>IF(I345="sell",N344+(N344*E345/100),IF(I345="buy",0,M344))</f>
        <v>0</v>
      </c>
      <c r="N345">
        <f>IF(I345="buy",M344,IF(I345="sell",0,IF(AND(I345="keep",N344&lt;&gt;0),N344+(N344*E344/100),N344)))</f>
        <v>1687.2430340722522</v>
      </c>
      <c r="O345">
        <f>O344+(O344*E345/100)</f>
        <v>1619.314102719524</v>
      </c>
    </row>
    <row r="346" spans="1:15" x14ac:dyDescent="0.25">
      <c r="A346" s="1">
        <v>45576</v>
      </c>
      <c r="B346">
        <v>1.4118903541632</v>
      </c>
      <c r="C346">
        <v>0.14925054861734099</v>
      </c>
      <c r="D346">
        <v>-0.65054034268633398</v>
      </c>
      <c r="E346">
        <v>2.0877941461295402</v>
      </c>
      <c r="F346" s="3">
        <v>0.39160524144550501</v>
      </c>
      <c r="G346" t="str">
        <f t="shared" si="34"/>
        <v>buy</v>
      </c>
      <c r="H346">
        <f t="shared" si="35"/>
        <v>1</v>
      </c>
      <c r="I346" t="str">
        <f t="shared" si="36"/>
        <v>keep</v>
      </c>
      <c r="J346">
        <f t="shared" si="32"/>
        <v>0</v>
      </c>
      <c r="K346">
        <f t="shared" si="33"/>
        <v>0</v>
      </c>
      <c r="L346">
        <f t="shared" si="37"/>
        <v>0</v>
      </c>
      <c r="M346">
        <f>IF(I346="sell",N345+(N345*E346/100),IF(I346="buy",0,M345))</f>
        <v>0</v>
      </c>
      <c r="N346">
        <f>IF(I346="buy",M345,IF(I346="sell",0,IF(AND(I346="keep",N345&lt;&gt;0),N345+(N345*E345/100),N345)))</f>
        <v>1658.3900110681464</v>
      </c>
      <c r="O346">
        <f>O345+(O345*E346/100)</f>
        <v>1653.1220477635522</v>
      </c>
    </row>
    <row r="347" spans="1:15" x14ac:dyDescent="0.25">
      <c r="A347" s="1">
        <v>45579</v>
      </c>
      <c r="B347">
        <v>-0.36875558654471102</v>
      </c>
      <c r="C347">
        <v>0.82419257886576702</v>
      </c>
      <c r="D347">
        <v>1.6479919866528601</v>
      </c>
      <c r="E347">
        <v>0.73413218341407105</v>
      </c>
      <c r="F347" s="3">
        <v>0.32882860674736802</v>
      </c>
      <c r="G347" t="str">
        <f t="shared" si="34"/>
        <v>buy</v>
      </c>
      <c r="H347">
        <f t="shared" si="35"/>
        <v>1</v>
      </c>
      <c r="I347" t="str">
        <f t="shared" si="36"/>
        <v>keep</v>
      </c>
      <c r="J347">
        <f t="shared" si="32"/>
        <v>0</v>
      </c>
      <c r="K347">
        <f t="shared" si="33"/>
        <v>0</v>
      </c>
      <c r="L347">
        <f t="shared" si="37"/>
        <v>0</v>
      </c>
      <c r="M347">
        <f>IF(I347="sell",N346+(N346*E347/100),IF(I347="buy",0,M346))</f>
        <v>0</v>
      </c>
      <c r="N347">
        <f>IF(I347="buy",M346,IF(I347="sell",0,IF(AND(I347="keep",N346&lt;&gt;0),N346+(N346*E346/100),N346)))</f>
        <v>1693.0137806392243</v>
      </c>
      <c r="O347">
        <f>O346+(O346*E347/100)</f>
        <v>1665.2581487472983</v>
      </c>
    </row>
    <row r="348" spans="1:15" x14ac:dyDescent="0.25">
      <c r="A348" s="1">
        <v>45580</v>
      </c>
      <c r="B348">
        <v>0.51362841849193996</v>
      </c>
      <c r="C348">
        <v>-1.36611384801268</v>
      </c>
      <c r="D348">
        <v>1.10246069231831</v>
      </c>
      <c r="E348">
        <v>1.1712704721823199</v>
      </c>
      <c r="F348" s="3">
        <v>0.25741407616566803</v>
      </c>
      <c r="G348" t="str">
        <f t="shared" si="34"/>
        <v>buy</v>
      </c>
      <c r="H348">
        <f t="shared" si="35"/>
        <v>1</v>
      </c>
      <c r="I348" t="str">
        <f t="shared" si="36"/>
        <v>keep</v>
      </c>
      <c r="J348">
        <f t="shared" si="32"/>
        <v>0</v>
      </c>
      <c r="K348">
        <f t="shared" si="33"/>
        <v>0</v>
      </c>
      <c r="L348">
        <f t="shared" si="37"/>
        <v>0</v>
      </c>
      <c r="M348">
        <f>IF(I348="sell",N347+(N347*E348/100),IF(I348="buy",0,M347))</f>
        <v>0</v>
      </c>
      <c r="N348">
        <f>IF(I348="buy",M347,IF(I348="sell",0,IF(AND(I348="keep",N347&lt;&gt;0),N347+(N347*E347/100),N347)))</f>
        <v>1705.4427396725321</v>
      </c>
      <c r="O348">
        <f>O347+(O347*E348/100)</f>
        <v>1684.7628257291854</v>
      </c>
    </row>
    <row r="349" spans="1:15" x14ac:dyDescent="0.25">
      <c r="A349" s="1">
        <v>45581</v>
      </c>
      <c r="B349">
        <v>0.473438720921048</v>
      </c>
      <c r="C349">
        <v>7.0539796565194296E-2</v>
      </c>
      <c r="D349">
        <v>-0.885187329907</v>
      </c>
      <c r="E349">
        <v>1.0290771875256699</v>
      </c>
      <c r="F349" s="3">
        <v>0.120306181269191</v>
      </c>
      <c r="G349" t="str">
        <f t="shared" si="34"/>
        <v>keep</v>
      </c>
      <c r="H349">
        <f t="shared" si="35"/>
        <v>0</v>
      </c>
      <c r="I349" t="str">
        <f t="shared" si="36"/>
        <v>keep</v>
      </c>
      <c r="J349">
        <f t="shared" si="32"/>
        <v>0</v>
      </c>
      <c r="K349">
        <f t="shared" si="33"/>
        <v>0</v>
      </c>
      <c r="L349">
        <f t="shared" si="37"/>
        <v>0</v>
      </c>
      <c r="M349">
        <f>IF(I349="sell",N348+(N348*E349/100),IF(I349="buy",0,M348))</f>
        <v>0</v>
      </c>
      <c r="N349">
        <f>IF(I349="buy",M348,IF(I349="sell",0,IF(AND(I349="keep",N348&lt;&gt;0),N348+(N348*E348/100),N348)))</f>
        <v>1725.4180869022937</v>
      </c>
      <c r="O349">
        <f>O348+(O348*E349/100)</f>
        <v>1702.1003356326773</v>
      </c>
    </row>
    <row r="350" spans="1:15" x14ac:dyDescent="0.25">
      <c r="A350" s="1">
        <v>45582</v>
      </c>
      <c r="B350">
        <v>0.63575168287210904</v>
      </c>
      <c r="C350">
        <v>8.1139582736722199E-2</v>
      </c>
      <c r="D350">
        <v>0.159636685361674</v>
      </c>
      <c r="E350">
        <v>-0.30557749942990903</v>
      </c>
      <c r="F350" s="3">
        <v>0.30778018861227202</v>
      </c>
      <c r="G350" t="str">
        <f t="shared" si="34"/>
        <v>buy</v>
      </c>
      <c r="H350">
        <f t="shared" si="35"/>
        <v>1</v>
      </c>
      <c r="I350" t="str">
        <f t="shared" si="36"/>
        <v>keep</v>
      </c>
      <c r="J350">
        <f t="shared" si="32"/>
        <v>0</v>
      </c>
      <c r="K350">
        <f t="shared" si="33"/>
        <v>0</v>
      </c>
      <c r="L350">
        <f t="shared" si="37"/>
        <v>0</v>
      </c>
      <c r="M350">
        <f>IF(I350="sell",N349+(N349*E350/100),IF(I350="buy",0,M349))</f>
        <v>0</v>
      </c>
      <c r="N350">
        <f>IF(I350="buy",M349,IF(I350="sell",0,IF(AND(I350="keep",N349&lt;&gt;0),N349+(N349*E349/100),N349)))</f>
        <v>1743.173970824047</v>
      </c>
      <c r="O350">
        <f>O349+(O349*E350/100)</f>
        <v>1696.8990999892628</v>
      </c>
    </row>
    <row r="351" spans="1:15" x14ac:dyDescent="0.25">
      <c r="A351" s="1">
        <v>45583</v>
      </c>
      <c r="B351">
        <v>0.84355076818560804</v>
      </c>
      <c r="C351">
        <v>0.661794757820932</v>
      </c>
      <c r="D351">
        <v>1.22765249367822</v>
      </c>
      <c r="E351">
        <v>0.33205272774301497</v>
      </c>
      <c r="F351" s="3">
        <v>0.56658320221611302</v>
      </c>
      <c r="G351" t="str">
        <f t="shared" si="34"/>
        <v>buy</v>
      </c>
      <c r="H351">
        <f t="shared" si="35"/>
        <v>0</v>
      </c>
      <c r="I351" t="str">
        <f t="shared" si="36"/>
        <v>keep</v>
      </c>
      <c r="J351">
        <f t="shared" si="32"/>
        <v>0</v>
      </c>
      <c r="K351">
        <f t="shared" si="33"/>
        <v>0</v>
      </c>
      <c r="L351">
        <f t="shared" si="37"/>
        <v>0</v>
      </c>
      <c r="M351">
        <f>IF(I351="sell",N350+(N350*E351/100),IF(I351="buy",0,M350))</f>
        <v>0</v>
      </c>
      <c r="N351">
        <f>IF(I351="buy",M350,IF(I351="sell",0,IF(AND(I351="keep",N350&lt;&gt;0),N350+(N350*E350/100),N350)))</f>
        <v>1737.8472233932898</v>
      </c>
      <c r="O351">
        <f>O350+(O350*E351/100)</f>
        <v>1702.5336997378238</v>
      </c>
    </row>
    <row r="352" spans="1:15" x14ac:dyDescent="0.25">
      <c r="A352" s="1">
        <v>45586</v>
      </c>
      <c r="B352">
        <v>0.346395941095689</v>
      </c>
      <c r="C352">
        <v>0.18417422102905401</v>
      </c>
      <c r="D352">
        <v>0.62978422985029403</v>
      </c>
      <c r="E352">
        <v>-1.27291718593408</v>
      </c>
      <c r="F352" s="3">
        <v>0.30351428550813597</v>
      </c>
      <c r="G352" t="str">
        <f t="shared" si="34"/>
        <v>buy</v>
      </c>
      <c r="H352">
        <f t="shared" si="35"/>
        <v>0</v>
      </c>
      <c r="I352" t="str">
        <f t="shared" si="36"/>
        <v>keep</v>
      </c>
      <c r="J352">
        <f t="shared" si="32"/>
        <v>0</v>
      </c>
      <c r="K352">
        <f t="shared" si="33"/>
        <v>0</v>
      </c>
      <c r="L352">
        <f t="shared" si="37"/>
        <v>0</v>
      </c>
      <c r="M352">
        <f>IF(I352="sell",N351+(N351*E352/100),IF(I352="buy",0,M351))</f>
        <v>0</v>
      </c>
      <c r="N352">
        <f>IF(I352="buy",M351,IF(I352="sell",0,IF(AND(I352="keep",N351&lt;&gt;0),N351+(N351*E351/100),N351)))</f>
        <v>1743.6177925025736</v>
      </c>
      <c r="O352">
        <f>O351+(O351*E352/100)</f>
        <v>1680.8618556775416</v>
      </c>
    </row>
    <row r="353" spans="1:15" x14ac:dyDescent="0.25">
      <c r="A353" s="1">
        <v>45587</v>
      </c>
      <c r="B353">
        <v>0.77484678340635704</v>
      </c>
      <c r="C353">
        <v>0.142377899895751</v>
      </c>
      <c r="D353">
        <v>-0.26216615311221902</v>
      </c>
      <c r="E353">
        <v>-1.4440331241682001</v>
      </c>
      <c r="F353" s="3">
        <v>0.27488483335329</v>
      </c>
      <c r="G353" t="str">
        <f t="shared" si="34"/>
        <v>buy</v>
      </c>
      <c r="H353">
        <f t="shared" si="35"/>
        <v>1</v>
      </c>
      <c r="I353" t="str">
        <f t="shared" si="36"/>
        <v>keep</v>
      </c>
      <c r="J353">
        <f t="shared" si="32"/>
        <v>0</v>
      </c>
      <c r="K353">
        <f t="shared" si="33"/>
        <v>0</v>
      </c>
      <c r="L353">
        <f t="shared" si="37"/>
        <v>0</v>
      </c>
      <c r="M353">
        <f>IF(I353="sell",N352+(N352*E353/100),IF(I353="buy",0,M352))</f>
        <v>0</v>
      </c>
      <c r="N353">
        <f>IF(I353="buy",M352,IF(I353="sell",0,IF(AND(I353="keep",N352&lt;&gt;0),N352+(N352*E352/100),N352)))</f>
        <v>1721.422981964804</v>
      </c>
      <c r="O353">
        <f>O352+(O352*E353/100)</f>
        <v>1656.5896537100496</v>
      </c>
    </row>
    <row r="354" spans="1:15" x14ac:dyDescent="0.25">
      <c r="A354" s="1">
        <v>45588</v>
      </c>
      <c r="B354">
        <v>-1.0859284803718201</v>
      </c>
      <c r="C354">
        <v>-1.5865261751148201</v>
      </c>
      <c r="D354">
        <v>-2.1623120073781399</v>
      </c>
      <c r="E354">
        <v>0.49711350747960698</v>
      </c>
      <c r="F354" s="3">
        <v>-0.60256461211471901</v>
      </c>
      <c r="G354" t="str">
        <f t="shared" si="34"/>
        <v>sell</v>
      </c>
      <c r="H354">
        <f t="shared" si="35"/>
        <v>0</v>
      </c>
      <c r="I354" t="str">
        <f t="shared" si="36"/>
        <v>sell</v>
      </c>
      <c r="J354">
        <f t="shared" si="32"/>
        <v>0</v>
      </c>
      <c r="K354">
        <f t="shared" si="33"/>
        <v>1</v>
      </c>
      <c r="L354">
        <f t="shared" si="37"/>
        <v>0</v>
      </c>
      <c r="M354">
        <f>IF(I354="sell",N353+(N353*E354/100),IF(I354="buy",0,M353))</f>
        <v>1729.9804081290092</v>
      </c>
      <c r="N354">
        <f>IF(I354="buy",M353,IF(I354="sell",0,IF(AND(I354="keep",N353&lt;&gt;0),N353+(N353*E353/100),N353)))</f>
        <v>0</v>
      </c>
      <c r="O354">
        <f>O353+(O353*E354/100)</f>
        <v>1664.8247846421518</v>
      </c>
    </row>
    <row r="355" spans="1:15" x14ac:dyDescent="0.25">
      <c r="A355" s="1">
        <v>45589</v>
      </c>
      <c r="B355">
        <v>0.75523138585067395</v>
      </c>
      <c r="C355">
        <v>0.82677294106334698</v>
      </c>
      <c r="D355">
        <v>-8.2322308328164298E-2</v>
      </c>
      <c r="E355">
        <v>0.59880819132720398</v>
      </c>
      <c r="F355" s="3">
        <v>0.36110945624169699</v>
      </c>
      <c r="G355" t="str">
        <f t="shared" si="34"/>
        <v>buy</v>
      </c>
      <c r="H355">
        <f t="shared" si="35"/>
        <v>0</v>
      </c>
      <c r="I355" t="str">
        <f t="shared" si="36"/>
        <v>buy</v>
      </c>
      <c r="J355">
        <f t="shared" si="32"/>
        <v>1</v>
      </c>
      <c r="K355">
        <f t="shared" si="33"/>
        <v>0</v>
      </c>
      <c r="L355">
        <f t="shared" si="37"/>
        <v>0</v>
      </c>
      <c r="M355">
        <f>IF(I355="sell",N354+(N354*E355/100),IF(I355="buy",0,M354))</f>
        <v>0</v>
      </c>
      <c r="N355">
        <f>IF(I355="buy",M354,IF(I355="sell",0,IF(AND(I355="keep",N354&lt;&gt;0),N354+(N354*E354/100),N354)))</f>
        <v>1729.9804081290092</v>
      </c>
      <c r="O355">
        <f>O354+(O354*E355/100)</f>
        <v>1674.7938918238344</v>
      </c>
    </row>
    <row r="356" spans="1:15" x14ac:dyDescent="0.25">
      <c r="A356" s="1">
        <v>45590</v>
      </c>
      <c r="B356">
        <v>0.21938645706405199</v>
      </c>
      <c r="C356">
        <v>0.58889517743068098</v>
      </c>
      <c r="D356">
        <v>0.364306810476278</v>
      </c>
      <c r="E356">
        <v>-0.18116071355593899</v>
      </c>
      <c r="F356" s="3">
        <v>0.26870978680707902</v>
      </c>
      <c r="G356" t="str">
        <f t="shared" si="34"/>
        <v>buy</v>
      </c>
      <c r="H356">
        <f t="shared" si="35"/>
        <v>1</v>
      </c>
      <c r="I356" t="str">
        <f t="shared" si="36"/>
        <v>keep</v>
      </c>
      <c r="J356">
        <f t="shared" si="32"/>
        <v>0</v>
      </c>
      <c r="K356">
        <f t="shared" si="33"/>
        <v>0</v>
      </c>
      <c r="L356">
        <f t="shared" si="37"/>
        <v>0</v>
      </c>
      <c r="M356">
        <f>IF(I356="sell",N355+(N355*E356/100),IF(I356="buy",0,M355))</f>
        <v>0</v>
      </c>
      <c r="N356">
        <f>IF(I356="buy",M355,IF(I356="sell",0,IF(AND(I356="keep",N355&lt;&gt;0),N355+(N355*E355/100),N355)))</f>
        <v>1740.3396725212415</v>
      </c>
      <c r="O356">
        <f>O355+(O355*E356/100)</f>
        <v>1671.759823258815</v>
      </c>
    </row>
    <row r="357" spans="1:15" x14ac:dyDescent="0.25">
      <c r="A357" s="1">
        <v>45593</v>
      </c>
      <c r="B357">
        <v>7.2968735497780296E-2</v>
      </c>
      <c r="C357">
        <v>-4.6640027469679003E-3</v>
      </c>
      <c r="D357">
        <v>0.85994706385836805</v>
      </c>
      <c r="E357">
        <v>0.98522575956880798</v>
      </c>
      <c r="F357" s="3">
        <v>0.24695663669016801</v>
      </c>
      <c r="G357" t="str">
        <f t="shared" si="34"/>
        <v>buy</v>
      </c>
      <c r="H357">
        <f t="shared" si="35"/>
        <v>0</v>
      </c>
      <c r="I357" t="str">
        <f t="shared" si="36"/>
        <v>keep</v>
      </c>
      <c r="J357">
        <f t="shared" si="32"/>
        <v>0</v>
      </c>
      <c r="K357">
        <f t="shared" si="33"/>
        <v>0</v>
      </c>
      <c r="L357">
        <f t="shared" si="37"/>
        <v>0</v>
      </c>
      <c r="M357">
        <f>IF(I357="sell",N356+(N356*E357/100),IF(I357="buy",0,M356))</f>
        <v>0</v>
      </c>
      <c r="N357">
        <f>IF(I357="buy",M356,IF(I357="sell",0,IF(AND(I357="keep",N356&lt;&gt;0),N356+(N356*E356/100),N356)))</f>
        <v>1737.1868607522049</v>
      </c>
      <c r="O357">
        <f>O356+(O356*E357/100)</f>
        <v>1688.2304316756829</v>
      </c>
    </row>
    <row r="358" spans="1:15" x14ac:dyDescent="0.25">
      <c r="A358" s="1">
        <v>45594</v>
      </c>
      <c r="B358">
        <v>0.92967300695918598</v>
      </c>
      <c r="C358">
        <v>0.98068590526374499</v>
      </c>
      <c r="D358">
        <v>0.115683252732212</v>
      </c>
      <c r="E358">
        <v>-1.54045034406771</v>
      </c>
      <c r="F358" s="3">
        <v>0.44017214883297201</v>
      </c>
      <c r="G358" t="str">
        <f t="shared" si="34"/>
        <v>buy</v>
      </c>
      <c r="H358">
        <f t="shared" si="35"/>
        <v>0</v>
      </c>
      <c r="I358" t="str">
        <f t="shared" si="36"/>
        <v>keep</v>
      </c>
      <c r="J358">
        <f t="shared" si="32"/>
        <v>0</v>
      </c>
      <c r="K358">
        <f t="shared" si="33"/>
        <v>0</v>
      </c>
      <c r="L358">
        <f t="shared" si="37"/>
        <v>0</v>
      </c>
      <c r="M358">
        <f>IF(I358="sell",N357+(N357*E358/100),IF(I358="buy",0,M357))</f>
        <v>0</v>
      </c>
      <c r="N358">
        <f>IF(I358="buy",M357,IF(I358="sell",0,IF(AND(I358="keep",N357&lt;&gt;0),N357+(N357*E357/100),N357)))</f>
        <v>1754.3020731961803</v>
      </c>
      <c r="O358">
        <f>O357+(O357*E358/100)</f>
        <v>1662.2240801822791</v>
      </c>
    </row>
    <row r="359" spans="1:15" x14ac:dyDescent="0.25">
      <c r="A359" s="1">
        <v>45595</v>
      </c>
      <c r="B359">
        <v>0.72605470182371901</v>
      </c>
      <c r="C359">
        <v>-0.79292464607025803</v>
      </c>
      <c r="D359">
        <v>-1.5278010808311899</v>
      </c>
      <c r="E359">
        <v>-1.2255406571666601</v>
      </c>
      <c r="F359" s="3">
        <v>-2.95787347428855E-3</v>
      </c>
      <c r="G359" t="str">
        <f t="shared" si="34"/>
        <v>keep</v>
      </c>
      <c r="H359">
        <f t="shared" si="35"/>
        <v>1</v>
      </c>
      <c r="I359" t="str">
        <f t="shared" si="36"/>
        <v>keep</v>
      </c>
      <c r="J359">
        <f t="shared" si="32"/>
        <v>0</v>
      </c>
      <c r="K359">
        <f t="shared" si="33"/>
        <v>0</v>
      </c>
      <c r="L359">
        <f t="shared" si="37"/>
        <v>0</v>
      </c>
      <c r="M359">
        <f>IF(I359="sell",N358+(N358*E359/100),IF(I359="buy",0,M358))</f>
        <v>0</v>
      </c>
      <c r="N359">
        <f>IF(I359="buy",M358,IF(I359="sell",0,IF(AND(I359="keep",N358&lt;&gt;0),N358+(N358*E358/100),N358)))</f>
        <v>1727.2779208736429</v>
      </c>
      <c r="O359">
        <f>O358+(O358*E359/100)</f>
        <v>1641.8528482664308</v>
      </c>
    </row>
    <row r="360" spans="1:15" x14ac:dyDescent="0.25">
      <c r="A360" s="1">
        <v>45596</v>
      </c>
      <c r="B360">
        <v>-1.8002492799668199</v>
      </c>
      <c r="C360">
        <v>-2.4391143480166</v>
      </c>
      <c r="D360">
        <v>-1.8209469011913</v>
      </c>
      <c r="E360">
        <v>-1.1615726035909599</v>
      </c>
      <c r="F360" s="3">
        <v>-0.78209621897649395</v>
      </c>
      <c r="G360" t="str">
        <f t="shared" si="34"/>
        <v>sell</v>
      </c>
      <c r="H360">
        <f t="shared" si="35"/>
        <v>0</v>
      </c>
      <c r="I360" t="str">
        <f t="shared" si="36"/>
        <v>sell</v>
      </c>
      <c r="J360">
        <f t="shared" si="32"/>
        <v>0</v>
      </c>
      <c r="K360">
        <f t="shared" si="33"/>
        <v>1</v>
      </c>
      <c r="L360">
        <f t="shared" si="37"/>
        <v>0</v>
      </c>
      <c r="M360">
        <f>IF(I360="sell",N359+(N359*E360/100),IF(I360="buy",0,M359))</f>
        <v>1707.2143337568991</v>
      </c>
      <c r="N360">
        <f>IF(I360="buy",M359,IF(I360="sell",0,IF(AND(I360="keep",N359&lt;&gt;0),N359+(N359*E359/100),N359)))</f>
        <v>0</v>
      </c>
      <c r="O360">
        <f>O359+(O359*E360/100)</f>
        <v>1622.7815353896901</v>
      </c>
    </row>
    <row r="361" spans="1:15" x14ac:dyDescent="0.25">
      <c r="A361" s="1">
        <v>45597</v>
      </c>
      <c r="B361">
        <v>1.09574854024296E-2</v>
      </c>
      <c r="C361">
        <v>0.71753489210168997</v>
      </c>
      <c r="D361">
        <v>-1.3279645459521701</v>
      </c>
      <c r="E361">
        <v>0.48077575034854902</v>
      </c>
      <c r="F361" s="3">
        <v>-6.3966480212856404E-3</v>
      </c>
      <c r="G361" t="str">
        <f t="shared" si="34"/>
        <v>keep</v>
      </c>
      <c r="H361">
        <f t="shared" si="35"/>
        <v>1</v>
      </c>
      <c r="I361" t="str">
        <f t="shared" si="36"/>
        <v>keep</v>
      </c>
      <c r="J361">
        <f t="shared" si="32"/>
        <v>0</v>
      </c>
      <c r="K361">
        <f t="shared" si="33"/>
        <v>0</v>
      </c>
      <c r="L361">
        <f t="shared" si="37"/>
        <v>0</v>
      </c>
      <c r="M361">
        <f>IF(I361="sell",N360+(N360*E361/100),IF(I361="buy",0,M360))</f>
        <v>1707.2143337568991</v>
      </c>
      <c r="N361">
        <f>IF(I361="buy",M360,IF(I361="sell",0,IF(AND(I361="keep",N360&lt;&gt;0),N360+(N360*E360/100),N360)))</f>
        <v>0</v>
      </c>
      <c r="O361">
        <f>O360+(O360*E361/100)</f>
        <v>1630.5834754929776</v>
      </c>
    </row>
    <row r="362" spans="1:15" x14ac:dyDescent="0.25">
      <c r="A362" s="1">
        <v>45600</v>
      </c>
      <c r="B362">
        <v>-9.1287515915139394E-2</v>
      </c>
      <c r="C362">
        <v>-0.34712987307749998</v>
      </c>
      <c r="D362">
        <v>-0.40374828085851799</v>
      </c>
      <c r="E362">
        <v>-0.34555727034197797</v>
      </c>
      <c r="F362" s="3">
        <v>1.9703118737767599E-3</v>
      </c>
      <c r="G362" t="str">
        <f t="shared" si="34"/>
        <v>keep</v>
      </c>
      <c r="H362">
        <f t="shared" si="35"/>
        <v>0</v>
      </c>
      <c r="I362" t="str">
        <f t="shared" si="36"/>
        <v>keep</v>
      </c>
      <c r="J362">
        <f t="shared" si="32"/>
        <v>0</v>
      </c>
      <c r="K362">
        <f t="shared" si="33"/>
        <v>0</v>
      </c>
      <c r="L362">
        <f t="shared" si="37"/>
        <v>0</v>
      </c>
      <c r="M362">
        <f>IF(I362="sell",N361+(N361*E362/100),IF(I362="buy",0,M361))</f>
        <v>1707.2143337568991</v>
      </c>
      <c r="N362">
        <f>IF(I362="buy",M361,IF(I362="sell",0,IF(AND(I362="keep",N361&lt;&gt;0),N361+(N361*E361/100),N361)))</f>
        <v>0</v>
      </c>
      <c r="O362">
        <f>O361+(O361*E362/100)</f>
        <v>1624.9488757444167</v>
      </c>
    </row>
    <row r="363" spans="1:15" x14ac:dyDescent="0.25">
      <c r="A363" s="1">
        <v>45601</v>
      </c>
      <c r="B363">
        <v>0.15350137136695899</v>
      </c>
      <c r="C363">
        <v>1.3217121826120499</v>
      </c>
      <c r="D363">
        <v>0.648621554785489</v>
      </c>
      <c r="E363">
        <v>-0.88023946795987495</v>
      </c>
      <c r="F363" s="3">
        <v>0.34062826883407399</v>
      </c>
      <c r="G363" t="str">
        <f t="shared" si="34"/>
        <v>buy</v>
      </c>
      <c r="H363">
        <f t="shared" si="35"/>
        <v>0</v>
      </c>
      <c r="I363" t="str">
        <f t="shared" si="36"/>
        <v>buy</v>
      </c>
      <c r="J363">
        <f t="shared" si="32"/>
        <v>1</v>
      </c>
      <c r="K363">
        <f t="shared" si="33"/>
        <v>0</v>
      </c>
      <c r="L363">
        <f t="shared" si="37"/>
        <v>0</v>
      </c>
      <c r="M363">
        <f>IF(I363="sell",N362+(N362*E363/100),IF(I363="buy",0,M362))</f>
        <v>0</v>
      </c>
      <c r="N363">
        <f>IF(I363="buy",M362,IF(I363="sell",0,IF(AND(I363="keep",N362&lt;&gt;0),N362+(N362*E362/100),N362)))</f>
        <v>1707.2143337568991</v>
      </c>
      <c r="O363">
        <f>O362+(O362*E363/100)</f>
        <v>1610.6454344059441</v>
      </c>
    </row>
    <row r="364" spans="1:15" x14ac:dyDescent="0.25">
      <c r="A364" s="1">
        <v>45602</v>
      </c>
      <c r="B364">
        <v>-2.65299236858987</v>
      </c>
      <c r="C364">
        <v>2.7382039808969401</v>
      </c>
      <c r="D364">
        <v>-0.32669817089815401</v>
      </c>
      <c r="E364">
        <v>-1.7761022252029499</v>
      </c>
      <c r="F364" s="3">
        <v>-0.31236811424564398</v>
      </c>
      <c r="G364" t="str">
        <f t="shared" si="34"/>
        <v>sell</v>
      </c>
      <c r="H364">
        <f t="shared" si="35"/>
        <v>1</v>
      </c>
      <c r="I364" t="str">
        <f t="shared" si="36"/>
        <v>sell</v>
      </c>
      <c r="J364">
        <f t="shared" si="32"/>
        <v>0</v>
      </c>
      <c r="K364">
        <f t="shared" si="33"/>
        <v>1</v>
      </c>
      <c r="L364">
        <f t="shared" si="37"/>
        <v>1</v>
      </c>
      <c r="M364">
        <f>IF(I364="sell",N363+(N363*E364/100),IF(I364="buy",0,M363))</f>
        <v>1676.8924619860591</v>
      </c>
      <c r="N364">
        <f>IF(I364="buy",M363,IF(I364="sell",0,IF(AND(I364="keep",N363&lt;&gt;0),N363+(N363*E363/100),N363)))</f>
        <v>0</v>
      </c>
      <c r="O364">
        <f>O363+(O363*E364/100)</f>
        <v>1582.0387250053304</v>
      </c>
    </row>
    <row r="365" spans="1:15" x14ac:dyDescent="0.25">
      <c r="A365" s="1">
        <v>45603</v>
      </c>
      <c r="B365">
        <v>1.1545885275143299</v>
      </c>
      <c r="C365">
        <v>1.5409997010349801</v>
      </c>
      <c r="D365">
        <v>2.1372158348508399</v>
      </c>
      <c r="E365">
        <v>-0.38356438651767599</v>
      </c>
      <c r="F365" s="3">
        <v>0.77136935685378405</v>
      </c>
      <c r="G365" t="str">
        <f t="shared" si="34"/>
        <v>buy</v>
      </c>
      <c r="H365">
        <f t="shared" si="35"/>
        <v>1</v>
      </c>
      <c r="I365" t="str">
        <f t="shared" si="36"/>
        <v>buy</v>
      </c>
      <c r="J365">
        <f t="shared" si="32"/>
        <v>1</v>
      </c>
      <c r="K365">
        <f t="shared" si="33"/>
        <v>0</v>
      </c>
      <c r="L365">
        <f t="shared" si="37"/>
        <v>1</v>
      </c>
      <c r="M365">
        <f>IF(I365="sell",N364+(N364*E365/100),IF(I365="buy",0,M364))</f>
        <v>0</v>
      </c>
      <c r="N365">
        <f>IF(I365="buy",M364,IF(I365="sell",0,IF(AND(I365="keep",N364&lt;&gt;0),N364+(N364*E364/100),N364)))</f>
        <v>1676.8924619860591</v>
      </c>
      <c r="O365">
        <f>O364+(O364*E365/100)</f>
        <v>1575.9705878752916</v>
      </c>
    </row>
    <row r="366" spans="1:15" x14ac:dyDescent="0.25">
      <c r="A366" s="1">
        <v>45604</v>
      </c>
      <c r="B366">
        <v>-0.40393947295516103</v>
      </c>
      <c r="C366">
        <v>7.3972575352621001E-2</v>
      </c>
      <c r="D366">
        <v>-0.118821990088568</v>
      </c>
      <c r="E366">
        <v>1.67766724364217</v>
      </c>
      <c r="F366" s="3">
        <v>-7.2520537808518396E-4</v>
      </c>
      <c r="G366" t="str">
        <f t="shared" si="34"/>
        <v>keep</v>
      </c>
      <c r="H366">
        <f t="shared" si="35"/>
        <v>0</v>
      </c>
      <c r="I366" t="str">
        <f t="shared" si="36"/>
        <v>keep</v>
      </c>
      <c r="J366">
        <f t="shared" si="32"/>
        <v>0</v>
      </c>
      <c r="K366">
        <f t="shared" si="33"/>
        <v>0</v>
      </c>
      <c r="L366">
        <f t="shared" si="37"/>
        <v>0</v>
      </c>
      <c r="M366">
        <f>IF(I366="sell",N365+(N365*E366/100),IF(I366="buy",0,M365))</f>
        <v>0</v>
      </c>
      <c r="N366">
        <f>IF(I366="buy",M365,IF(I366="sell",0,IF(AND(I366="keep",N365&lt;&gt;0),N365+(N365*E365/100),N365)))</f>
        <v>1670.4604997016811</v>
      </c>
      <c r="O366">
        <f>O365+(O365*E366/100)</f>
        <v>1602.4101301975104</v>
      </c>
    </row>
    <row r="367" spans="1:15" x14ac:dyDescent="0.25">
      <c r="A367" s="1">
        <v>45607</v>
      </c>
      <c r="B367">
        <v>-2.83907158430232</v>
      </c>
      <c r="C367">
        <v>-5.0148002274508198E-2</v>
      </c>
      <c r="D367">
        <v>-1.20285684917528</v>
      </c>
      <c r="E367">
        <v>0.216388588964955</v>
      </c>
      <c r="F367" s="3">
        <v>-0.70769066443794904</v>
      </c>
      <c r="G367" t="str">
        <f t="shared" si="34"/>
        <v>sell</v>
      </c>
      <c r="H367">
        <f t="shared" si="35"/>
        <v>1</v>
      </c>
      <c r="I367" t="str">
        <f t="shared" si="36"/>
        <v>sell</v>
      </c>
      <c r="J367">
        <f t="shared" si="32"/>
        <v>0</v>
      </c>
      <c r="K367">
        <f t="shared" si="33"/>
        <v>1</v>
      </c>
      <c r="L367">
        <f t="shared" si="37"/>
        <v>1</v>
      </c>
      <c r="M367">
        <f>IF(I367="sell",N366+(N366*E367/100),IF(I367="buy",0,M366))</f>
        <v>1674.0751856062025</v>
      </c>
      <c r="N367">
        <f>IF(I367="buy",M366,IF(I367="sell",0,IF(AND(I367="keep",N366&lt;&gt;0),N366+(N366*E366/100),N366)))</f>
        <v>0</v>
      </c>
      <c r="O367">
        <f>O366+(O366*E367/100)</f>
        <v>1605.8775628676763</v>
      </c>
    </row>
    <row r="368" spans="1:15" x14ac:dyDescent="0.25">
      <c r="A368" s="1">
        <v>45608</v>
      </c>
      <c r="B368">
        <v>-0.42891970669839402</v>
      </c>
      <c r="C368">
        <v>-0.16961897452420999</v>
      </c>
      <c r="D368">
        <v>0</v>
      </c>
      <c r="E368">
        <v>-1.83535853347411</v>
      </c>
      <c r="F368" s="3">
        <v>-1.6724874041986599E-2</v>
      </c>
      <c r="G368" t="str">
        <f t="shared" si="34"/>
        <v>keep</v>
      </c>
      <c r="H368">
        <f t="shared" si="35"/>
        <v>1</v>
      </c>
      <c r="I368" t="str">
        <f t="shared" si="36"/>
        <v>keep</v>
      </c>
      <c r="J368">
        <f t="shared" si="32"/>
        <v>0</v>
      </c>
      <c r="K368">
        <f t="shared" si="33"/>
        <v>0</v>
      </c>
      <c r="L368">
        <f t="shared" si="37"/>
        <v>0</v>
      </c>
      <c r="M368">
        <f>IF(I368="sell",N367+(N367*E368/100),IF(I368="buy",0,M367))</f>
        <v>1674.0751856062025</v>
      </c>
      <c r="N368">
        <f>IF(I368="buy",M367,IF(I368="sell",0,IF(AND(I368="keep",N367&lt;&gt;0),N367+(N367*E367/100),N367)))</f>
        <v>0</v>
      </c>
      <c r="O368">
        <f>O367+(O367*E368/100)</f>
        <v>1576.4039519804383</v>
      </c>
    </row>
    <row r="369" spans="1:15" x14ac:dyDescent="0.25">
      <c r="A369" s="1">
        <v>45609</v>
      </c>
      <c r="B369">
        <v>-0.73845966045673594</v>
      </c>
      <c r="C369">
        <v>-0.164345559851997</v>
      </c>
      <c r="D369">
        <v>0.39690411644725998</v>
      </c>
      <c r="E369">
        <v>-0.76985984261834695</v>
      </c>
      <c r="F369" s="3">
        <v>-3.5504851600758003E-2</v>
      </c>
      <c r="G369" t="str">
        <f t="shared" si="34"/>
        <v>keep</v>
      </c>
      <c r="H369">
        <f t="shared" si="35"/>
        <v>0</v>
      </c>
      <c r="I369" t="str">
        <f t="shared" si="36"/>
        <v>keep</v>
      </c>
      <c r="J369">
        <f t="shared" si="32"/>
        <v>0</v>
      </c>
      <c r="K369">
        <f t="shared" si="33"/>
        <v>0</v>
      </c>
      <c r="L369">
        <f t="shared" si="37"/>
        <v>0</v>
      </c>
      <c r="M369">
        <f>IF(I369="sell",N368+(N368*E369/100),IF(I369="buy",0,M368))</f>
        <v>1674.0751856062025</v>
      </c>
      <c r="N369">
        <f>IF(I369="buy",M368,IF(I369="sell",0,IF(AND(I369="keep",N368&lt;&gt;0),N368+(N368*E368/100),N368)))</f>
        <v>0</v>
      </c>
      <c r="O369">
        <f>O368+(O368*E369/100)</f>
        <v>1564.2678509966922</v>
      </c>
    </row>
    <row r="370" spans="1:15" x14ac:dyDescent="0.25">
      <c r="A370" s="1">
        <v>45610</v>
      </c>
      <c r="B370">
        <v>-0.488224481473154</v>
      </c>
      <c r="C370">
        <v>-0.66309741577792403</v>
      </c>
      <c r="D370">
        <v>1.3770510689119899</v>
      </c>
      <c r="E370">
        <v>2.3829280701795201</v>
      </c>
      <c r="F370" s="3">
        <v>0.14299846351745199</v>
      </c>
      <c r="G370" t="str">
        <f t="shared" si="34"/>
        <v>keep</v>
      </c>
      <c r="H370">
        <f t="shared" si="35"/>
        <v>1</v>
      </c>
      <c r="I370" t="str">
        <f t="shared" si="36"/>
        <v>keep</v>
      </c>
      <c r="J370">
        <f t="shared" si="32"/>
        <v>0</v>
      </c>
      <c r="K370">
        <f t="shared" si="33"/>
        <v>0</v>
      </c>
      <c r="L370">
        <f t="shared" si="37"/>
        <v>0</v>
      </c>
      <c r="M370">
        <f>IF(I370="sell",N369+(N369*E370/100),IF(I370="buy",0,M369))</f>
        <v>1674.0751856062025</v>
      </c>
      <c r="N370">
        <f>IF(I370="buy",M369,IF(I370="sell",0,IF(AND(I370="keep",N369&lt;&gt;0),N369+(N369*E369/100),N369)))</f>
        <v>0</v>
      </c>
      <c r="O370">
        <f>O369+(O369*E370/100)</f>
        <v>1601.5432287108863</v>
      </c>
    </row>
    <row r="371" spans="1:15" x14ac:dyDescent="0.25">
      <c r="A371" s="1">
        <v>45611</v>
      </c>
      <c r="B371">
        <v>-9.7344445429925403E-2</v>
      </c>
      <c r="C371">
        <v>-2.4048763002852001</v>
      </c>
      <c r="D371">
        <v>-1.4109139559085599</v>
      </c>
      <c r="E371">
        <v>0.70365710843312002</v>
      </c>
      <c r="F371" s="3">
        <v>-0.30048480877063699</v>
      </c>
      <c r="G371" t="str">
        <f t="shared" si="34"/>
        <v>sell</v>
      </c>
      <c r="H371">
        <f t="shared" si="35"/>
        <v>1</v>
      </c>
      <c r="I371" t="str">
        <f t="shared" si="36"/>
        <v>keep</v>
      </c>
      <c r="J371">
        <f t="shared" si="32"/>
        <v>0</v>
      </c>
      <c r="K371">
        <f t="shared" si="33"/>
        <v>0</v>
      </c>
      <c r="L371">
        <f t="shared" si="37"/>
        <v>0</v>
      </c>
      <c r="M371">
        <f>IF(I371="sell",N370+(N370*E371/100),IF(I371="buy",0,M370))</f>
        <v>1674.0751856062025</v>
      </c>
      <c r="N371">
        <f>IF(I371="buy",M370,IF(I371="sell",0,IF(AND(I371="keep",N370&lt;&gt;0),N370+(N370*E370/100),N370)))</f>
        <v>0</v>
      </c>
      <c r="O371">
        <f>O370+(O370*E371/100)</f>
        <v>1612.8126014843397</v>
      </c>
    </row>
    <row r="372" spans="1:15" x14ac:dyDescent="0.25">
      <c r="A372" s="1">
        <v>45614</v>
      </c>
      <c r="B372">
        <v>1.75001548656799</v>
      </c>
      <c r="C372">
        <v>0.71127617425930101</v>
      </c>
      <c r="D372">
        <v>1.34221800764482</v>
      </c>
      <c r="E372">
        <v>-1.12872618288266</v>
      </c>
      <c r="F372" s="3">
        <v>0.75681925220879298</v>
      </c>
      <c r="G372" t="str">
        <f t="shared" si="34"/>
        <v>buy</v>
      </c>
      <c r="H372">
        <f t="shared" si="35"/>
        <v>1</v>
      </c>
      <c r="I372" t="str">
        <f t="shared" si="36"/>
        <v>buy</v>
      </c>
      <c r="J372">
        <f t="shared" si="32"/>
        <v>1</v>
      </c>
      <c r="K372">
        <f t="shared" si="33"/>
        <v>0</v>
      </c>
      <c r="L372">
        <f t="shared" si="37"/>
        <v>1</v>
      </c>
      <c r="M372">
        <f>IF(I372="sell",N371+(N371*E372/100),IF(I372="buy",0,M371))</f>
        <v>0</v>
      </c>
      <c r="N372">
        <f>IF(I372="buy",M371,IF(I372="sell",0,IF(AND(I372="keep",N371&lt;&gt;0),N371+(N371*E371/100),N371)))</f>
        <v>1674.0751856062025</v>
      </c>
      <c r="O372">
        <f>O371+(O371*E372/100)</f>
        <v>1594.608363370555</v>
      </c>
    </row>
    <row r="373" spans="1:15" x14ac:dyDescent="0.25">
      <c r="A373" s="1">
        <v>45615</v>
      </c>
      <c r="B373">
        <v>0.63203858817033598</v>
      </c>
      <c r="C373">
        <v>0.707916887162651</v>
      </c>
      <c r="D373">
        <v>0.114027492301982</v>
      </c>
      <c r="E373">
        <v>1.03288277666637</v>
      </c>
      <c r="F373" s="3">
        <v>0.31917298445048697</v>
      </c>
      <c r="G373" t="str">
        <f t="shared" si="34"/>
        <v>buy</v>
      </c>
      <c r="H373">
        <f t="shared" si="35"/>
        <v>1</v>
      </c>
      <c r="I373" t="str">
        <f t="shared" si="36"/>
        <v>keep</v>
      </c>
      <c r="J373">
        <f t="shared" si="32"/>
        <v>0</v>
      </c>
      <c r="K373">
        <f t="shared" si="33"/>
        <v>0</v>
      </c>
      <c r="L373">
        <f t="shared" si="37"/>
        <v>0</v>
      </c>
      <c r="M373">
        <f>IF(I373="sell",N372+(N372*E373/100),IF(I373="buy",0,M372))</f>
        <v>0</v>
      </c>
      <c r="N373">
        <f>IF(I373="buy",M372,IF(I373="sell",0,IF(AND(I373="keep",N372&lt;&gt;0),N372+(N372*E372/100),N372)))</f>
        <v>1655.1794606651238</v>
      </c>
      <c r="O373">
        <f>O372+(O372*E373/100)</f>
        <v>1611.078798511091</v>
      </c>
    </row>
    <row r="374" spans="1:15" x14ac:dyDescent="0.25">
      <c r="A374" s="1">
        <v>45616</v>
      </c>
      <c r="B374">
        <v>0.80316138446530005</v>
      </c>
      <c r="C374">
        <v>-8.45568343734171E-2</v>
      </c>
      <c r="D374">
        <v>0.31539897402841299</v>
      </c>
      <c r="E374">
        <v>0.75330109683608903</v>
      </c>
      <c r="F374" s="3">
        <v>0.32972599768581801</v>
      </c>
      <c r="G374" t="str">
        <f t="shared" si="34"/>
        <v>buy</v>
      </c>
      <c r="H374">
        <f t="shared" si="35"/>
        <v>1</v>
      </c>
      <c r="I374" t="str">
        <f t="shared" si="36"/>
        <v>keep</v>
      </c>
      <c r="J374">
        <f t="shared" si="32"/>
        <v>0</v>
      </c>
      <c r="K374">
        <f t="shared" si="33"/>
        <v>0</v>
      </c>
      <c r="L374">
        <f t="shared" si="37"/>
        <v>0</v>
      </c>
      <c r="M374">
        <f>IF(I374="sell",N373+(N373*E374/100),IF(I374="buy",0,M373))</f>
        <v>0</v>
      </c>
      <c r="N374">
        <f>IF(I374="buy",M373,IF(I374="sell",0,IF(AND(I374="keep",N373&lt;&gt;0),N373+(N373*E373/100),N373)))</f>
        <v>1672.2755242372532</v>
      </c>
      <c r="O374">
        <f>O373+(O373*E374/100)</f>
        <v>1623.2150727711687</v>
      </c>
    </row>
    <row r="375" spans="1:15" x14ac:dyDescent="0.25">
      <c r="A375" s="1">
        <v>45617</v>
      </c>
      <c r="B375">
        <v>0.902505359302607</v>
      </c>
      <c r="C375">
        <v>0.35650714852402099</v>
      </c>
      <c r="D375">
        <v>-0.209602659888874</v>
      </c>
      <c r="E375">
        <v>0.40053233513202002</v>
      </c>
      <c r="F375" s="3">
        <v>0.30909453817608701</v>
      </c>
      <c r="G375" t="str">
        <f t="shared" si="34"/>
        <v>buy</v>
      </c>
      <c r="H375">
        <f t="shared" si="35"/>
        <v>1</v>
      </c>
      <c r="I375" t="str">
        <f t="shared" si="36"/>
        <v>keep</v>
      </c>
      <c r="J375">
        <f t="shared" si="32"/>
        <v>0</v>
      </c>
      <c r="K375">
        <f t="shared" si="33"/>
        <v>0</v>
      </c>
      <c r="L375">
        <f t="shared" si="37"/>
        <v>0</v>
      </c>
      <c r="M375">
        <f>IF(I375="sell",N374+(N374*E375/100),IF(I375="buy",0,M374))</f>
        <v>0</v>
      </c>
      <c r="N375">
        <f>IF(I375="buy",M374,IF(I375="sell",0,IF(AND(I375="keep",N374&lt;&gt;0),N374+(N374*E374/100),N374)))</f>
        <v>1684.8727941034538</v>
      </c>
      <c r="O375">
        <f>O374+(O374*E375/100)</f>
        <v>1629.716574006354</v>
      </c>
    </row>
    <row r="376" spans="1:15" x14ac:dyDescent="0.25">
      <c r="A376" s="1">
        <v>45618</v>
      </c>
      <c r="B376">
        <v>1.4146103553775899</v>
      </c>
      <c r="C376">
        <v>0.17092497522666</v>
      </c>
      <c r="D376">
        <v>0.59075617998374197</v>
      </c>
      <c r="E376">
        <v>3.1382930312513002</v>
      </c>
      <c r="F376" s="3">
        <v>0.55053798514774899</v>
      </c>
      <c r="G376" t="str">
        <f t="shared" si="34"/>
        <v>buy</v>
      </c>
      <c r="H376">
        <f t="shared" si="35"/>
        <v>1</v>
      </c>
      <c r="I376" t="str">
        <f t="shared" si="36"/>
        <v>keep</v>
      </c>
      <c r="J376">
        <f t="shared" si="32"/>
        <v>0</v>
      </c>
      <c r="K376">
        <f t="shared" si="33"/>
        <v>0</v>
      </c>
      <c r="L376">
        <f t="shared" si="37"/>
        <v>0</v>
      </c>
      <c r="M376">
        <f>IF(I376="sell",N375+(N375*E376/100),IF(I376="buy",0,M375))</f>
        <v>0</v>
      </c>
      <c r="N376">
        <f>IF(I376="buy",M375,IF(I376="sell",0,IF(AND(I376="keep",N375&lt;&gt;0),N375+(N375*E375/100),N375)))</f>
        <v>1691.6212544496805</v>
      </c>
      <c r="O376">
        <f>O375+(O375*E376/100)</f>
        <v>1680.8618556775427</v>
      </c>
    </row>
    <row r="377" spans="1:15" x14ac:dyDescent="0.25">
      <c r="A377" s="1">
        <v>45621</v>
      </c>
      <c r="B377">
        <v>-3.4355458456271499</v>
      </c>
      <c r="C377">
        <v>0.137946853704318</v>
      </c>
      <c r="D377">
        <v>1.3050801787272099</v>
      </c>
      <c r="E377">
        <v>7.7367385291648993E-2</v>
      </c>
      <c r="F377" s="3">
        <v>-0.50956543932074805</v>
      </c>
      <c r="G377" t="str">
        <f t="shared" si="34"/>
        <v>sell</v>
      </c>
      <c r="H377">
        <f t="shared" si="35"/>
        <v>1</v>
      </c>
      <c r="I377" t="str">
        <f t="shared" si="36"/>
        <v>sell</v>
      </c>
      <c r="J377">
        <f t="shared" si="32"/>
        <v>0</v>
      </c>
      <c r="K377">
        <f t="shared" si="33"/>
        <v>1</v>
      </c>
      <c r="L377">
        <f t="shared" si="37"/>
        <v>1</v>
      </c>
      <c r="M377">
        <f>IF(I377="sell",N376+(N376*E377/100),IF(I377="buy",0,M376))</f>
        <v>1692.9300175832859</v>
      </c>
      <c r="N377">
        <f>IF(I377="buy",M376,IF(I377="sell",0,IF(AND(I377="keep",N376&lt;&gt;0),N376+(N376*E376/100),N376)))</f>
        <v>0</v>
      </c>
      <c r="O377">
        <f>O376+(O376*E377/100)</f>
        <v>1682.1622945456452</v>
      </c>
    </row>
    <row r="378" spans="1:15" x14ac:dyDescent="0.25">
      <c r="A378" s="1">
        <v>45622</v>
      </c>
      <c r="B378">
        <v>0.13375114394267301</v>
      </c>
      <c r="C378">
        <v>0.56722127384412002</v>
      </c>
      <c r="D378">
        <v>0.94044786773608202</v>
      </c>
      <c r="E378">
        <v>-1.10796535837803</v>
      </c>
      <c r="F378" s="3">
        <v>0.32122634619038898</v>
      </c>
      <c r="G378" t="str">
        <f t="shared" si="34"/>
        <v>buy</v>
      </c>
      <c r="H378">
        <f t="shared" si="35"/>
        <v>1</v>
      </c>
      <c r="I378" t="str">
        <f t="shared" si="36"/>
        <v>buy</v>
      </c>
      <c r="J378">
        <f t="shared" si="32"/>
        <v>1</v>
      </c>
      <c r="K378">
        <f t="shared" si="33"/>
        <v>0</v>
      </c>
      <c r="L378">
        <f t="shared" si="37"/>
        <v>1</v>
      </c>
      <c r="M378">
        <f>IF(I378="sell",N377+(N377*E378/100),IF(I378="buy",0,M377))</f>
        <v>0</v>
      </c>
      <c r="N378">
        <f>IF(I378="buy",M377,IF(I378="sell",0,IF(AND(I378="keep",N377&lt;&gt;0),N377+(N377*E377/100),N377)))</f>
        <v>1692.9300175832859</v>
      </c>
      <c r="O378">
        <f>O377+(O377*E378/100)</f>
        <v>1663.5245190503824</v>
      </c>
    </row>
    <row r="379" spans="1:15" x14ac:dyDescent="0.25">
      <c r="A379" s="1">
        <v>45623</v>
      </c>
      <c r="B379">
        <v>0.748000349211563</v>
      </c>
      <c r="C379">
        <v>-0.85270279415917605</v>
      </c>
      <c r="D379">
        <v>-5.5315973998693001E-2</v>
      </c>
      <c r="E379">
        <v>0.182387967852215</v>
      </c>
      <c r="F379" s="3">
        <v>0.21330653051519799</v>
      </c>
      <c r="G379" t="str">
        <f t="shared" si="34"/>
        <v>buy</v>
      </c>
      <c r="H379">
        <f t="shared" si="35"/>
        <v>0</v>
      </c>
      <c r="I379" t="str">
        <f t="shared" si="36"/>
        <v>keep</v>
      </c>
      <c r="J379">
        <f t="shared" si="32"/>
        <v>0</v>
      </c>
      <c r="K379">
        <f t="shared" si="33"/>
        <v>0</v>
      </c>
      <c r="L379">
        <f t="shared" si="37"/>
        <v>0</v>
      </c>
      <c r="M379">
        <f>IF(I379="sell",N378+(N378*E379/100),IF(I379="buy",0,M378))</f>
        <v>0</v>
      </c>
      <c r="N379">
        <f>IF(I379="buy",M378,IF(I379="sell",0,IF(AND(I379="keep",N378&lt;&gt;0),N378+(N378*E378/100),N378)))</f>
        <v>1674.17293944688</v>
      </c>
      <c r="O379">
        <f>O378+(O378*E379/100)</f>
        <v>1666.5585876154018</v>
      </c>
    </row>
    <row r="380" spans="1:15" x14ac:dyDescent="0.25">
      <c r="A380" s="1">
        <v>45628</v>
      </c>
      <c r="B380">
        <v>-0.83176882409672304</v>
      </c>
      <c r="C380">
        <v>1.119093825705</v>
      </c>
      <c r="D380">
        <v>0.95225086107069101</v>
      </c>
      <c r="E380">
        <v>-2.9138691218054298</v>
      </c>
      <c r="F380" s="3">
        <v>0.13598474932575799</v>
      </c>
      <c r="G380" t="str">
        <f t="shared" si="34"/>
        <v>keep</v>
      </c>
      <c r="H380">
        <f t="shared" si="35"/>
        <v>1</v>
      </c>
      <c r="I380" t="str">
        <f t="shared" si="36"/>
        <v>keep</v>
      </c>
      <c r="J380">
        <f t="shared" si="32"/>
        <v>0</v>
      </c>
      <c r="K380">
        <f t="shared" si="33"/>
        <v>0</v>
      </c>
      <c r="L380">
        <f t="shared" si="37"/>
        <v>0</v>
      </c>
      <c r="M380">
        <f>IF(I380="sell",N379+(N379*E380/100),IF(I380="buy",0,M379))</f>
        <v>0</v>
      </c>
      <c r="N380">
        <f>IF(I380="buy",M379,IF(I380="sell",0,IF(AND(I380="keep",N379&lt;&gt;0),N379+(N379*E379/100),N379)))</f>
        <v>1677.2264294494689</v>
      </c>
      <c r="O380">
        <f>O379+(O379*E380/100)</f>
        <v>1617.9972515340799</v>
      </c>
    </row>
    <row r="381" spans="1:15" x14ac:dyDescent="0.25">
      <c r="A381" s="1">
        <v>45629</v>
      </c>
      <c r="B381">
        <v>0.37193249046796301</v>
      </c>
      <c r="C381">
        <v>0.305796964362747</v>
      </c>
      <c r="D381">
        <v>1.27719319076815</v>
      </c>
      <c r="E381">
        <v>0.71713055188726804</v>
      </c>
      <c r="F381" s="3">
        <v>0.393674481943381</v>
      </c>
      <c r="G381" t="str">
        <f t="shared" si="34"/>
        <v>buy</v>
      </c>
      <c r="H381">
        <f t="shared" si="35"/>
        <v>1</v>
      </c>
      <c r="I381" t="str">
        <f t="shared" si="36"/>
        <v>keep</v>
      </c>
      <c r="J381">
        <f t="shared" si="32"/>
        <v>0</v>
      </c>
      <c r="K381">
        <f t="shared" si="33"/>
        <v>0</v>
      </c>
      <c r="L381">
        <f t="shared" si="37"/>
        <v>0</v>
      </c>
      <c r="M381">
        <f>IF(I381="sell",N380+(N380*E381/100),IF(I381="buy",0,M380))</f>
        <v>0</v>
      </c>
      <c r="N381">
        <f>IF(I381="buy",M380,IF(I381="sell",0,IF(AND(I381="keep",N380&lt;&gt;0),N380+(N380*E380/100),N380)))</f>
        <v>1628.3542464189811</v>
      </c>
      <c r="O381">
        <f>O380+(O380*E381/100)</f>
        <v>1629.6004041535271</v>
      </c>
    </row>
    <row r="382" spans="1:15" x14ac:dyDescent="0.25">
      <c r="A382" s="1">
        <v>45630</v>
      </c>
      <c r="B382">
        <v>0.34408809408483698</v>
      </c>
      <c r="C382">
        <v>1.23903666546083</v>
      </c>
      <c r="D382">
        <v>0.14836351011882001</v>
      </c>
      <c r="E382">
        <v>1.45042633644791</v>
      </c>
      <c r="F382" s="3">
        <v>0.31782940977694202</v>
      </c>
      <c r="G382" t="str">
        <f t="shared" si="34"/>
        <v>buy</v>
      </c>
      <c r="H382">
        <f t="shared" si="35"/>
        <v>1</v>
      </c>
      <c r="I382" t="str">
        <f t="shared" si="36"/>
        <v>keep</v>
      </c>
      <c r="J382">
        <f t="shared" si="32"/>
        <v>0</v>
      </c>
      <c r="K382">
        <f t="shared" si="33"/>
        <v>0</v>
      </c>
      <c r="L382">
        <f t="shared" si="37"/>
        <v>0</v>
      </c>
      <c r="M382">
        <f>IF(I382="sell",N381+(N381*E382/100),IF(I382="buy",0,M381))</f>
        <v>0</v>
      </c>
      <c r="N382">
        <f>IF(I382="buy",M381,IF(I382="sell",0,IF(AND(I382="keep",N381&lt;&gt;0),N381+(N381*E381/100),N381)))</f>
        <v>1640.0316722130053</v>
      </c>
      <c r="O382">
        <f>O381+(O381*E382/100)</f>
        <v>1653.2365575942315</v>
      </c>
    </row>
    <row r="383" spans="1:15" x14ac:dyDescent="0.25">
      <c r="A383" s="1">
        <v>45631</v>
      </c>
      <c r="B383">
        <v>-1.0249435025779701</v>
      </c>
      <c r="C383">
        <v>-0.31238390678082201</v>
      </c>
      <c r="D383">
        <v>1.2337425561526E-2</v>
      </c>
      <c r="E383">
        <v>0.57186342575392601</v>
      </c>
      <c r="F383" s="3">
        <v>-0.167136403308213</v>
      </c>
      <c r="G383" t="str">
        <f t="shared" si="34"/>
        <v>sell</v>
      </c>
      <c r="H383">
        <f t="shared" si="35"/>
        <v>0</v>
      </c>
      <c r="I383" t="str">
        <f t="shared" si="36"/>
        <v>sell</v>
      </c>
      <c r="J383">
        <f t="shared" si="32"/>
        <v>0</v>
      </c>
      <c r="K383">
        <f t="shared" si="33"/>
        <v>1</v>
      </c>
      <c r="L383">
        <f t="shared" si="37"/>
        <v>0</v>
      </c>
      <c r="M383">
        <f>IF(I383="sell",N382+(N382*E383/100),IF(I383="buy",0,M382))</f>
        <v>1649.4104135171719</v>
      </c>
      <c r="N383">
        <f>IF(I383="buy",M382,IF(I383="sell",0,IF(AND(I383="keep",N382&lt;&gt;0),N382+(N382*E382/100),N382)))</f>
        <v>0</v>
      </c>
      <c r="O383">
        <f>O382+(O382*E383/100)</f>
        <v>1662.6908128083062</v>
      </c>
    </row>
    <row r="384" spans="1:15" x14ac:dyDescent="0.25">
      <c r="A384" s="1">
        <v>45632</v>
      </c>
      <c r="B384">
        <v>0.45686437043490602</v>
      </c>
      <c r="C384">
        <v>0.91961384951457703</v>
      </c>
      <c r="D384">
        <v>-8.2289811117508493E-2</v>
      </c>
      <c r="E384">
        <v>0.64616943431345897</v>
      </c>
      <c r="F384" s="3">
        <v>0.28428332910242698</v>
      </c>
      <c r="G384" t="str">
        <f t="shared" si="34"/>
        <v>buy</v>
      </c>
      <c r="H384">
        <f t="shared" si="35"/>
        <v>0</v>
      </c>
      <c r="I384" t="str">
        <f t="shared" si="36"/>
        <v>buy</v>
      </c>
      <c r="J384">
        <f t="shared" ref="J384:J447" si="38">IF(I384="buy",1,0)</f>
        <v>1</v>
      </c>
      <c r="K384">
        <f t="shared" ref="K384:K447" si="39">IF(I384="sell",1,0)</f>
        <v>0</v>
      </c>
      <c r="L384">
        <f t="shared" si="37"/>
        <v>0</v>
      </c>
      <c r="M384">
        <f>IF(I384="sell",N383+(N383*E384/100),IF(I384="buy",0,M383))</f>
        <v>0</v>
      </c>
      <c r="N384">
        <f>IF(I384="buy",M383,IF(I384="sell",0,IF(AND(I384="keep",N383&lt;&gt;0),N383+(N383*E383/100),N383)))</f>
        <v>1649.4104135171719</v>
      </c>
      <c r="O384">
        <f>O383+(O383*E384/100)</f>
        <v>1673.4346126278115</v>
      </c>
    </row>
    <row r="385" spans="1:15" x14ac:dyDescent="0.25">
      <c r="A385" s="1">
        <v>45635</v>
      </c>
      <c r="B385">
        <v>0.99673325680769098</v>
      </c>
      <c r="C385">
        <v>-0.83908791869485799</v>
      </c>
      <c r="D385">
        <v>1.61011347079838</v>
      </c>
      <c r="E385">
        <v>-1.6435513068999701</v>
      </c>
      <c r="F385" s="3">
        <v>0.493264110986601</v>
      </c>
      <c r="G385" t="str">
        <f t="shared" si="34"/>
        <v>buy</v>
      </c>
      <c r="H385">
        <f t="shared" si="35"/>
        <v>0</v>
      </c>
      <c r="I385" t="str">
        <f t="shared" si="36"/>
        <v>keep</v>
      </c>
      <c r="J385">
        <f t="shared" si="38"/>
        <v>0</v>
      </c>
      <c r="K385">
        <f t="shared" si="39"/>
        <v>0</v>
      </c>
      <c r="L385">
        <f t="shared" si="37"/>
        <v>0</v>
      </c>
      <c r="M385">
        <f>IF(I385="sell",N384+(N384*E385/100),IF(I385="buy",0,M384))</f>
        <v>0</v>
      </c>
      <c r="N385">
        <f>IF(I385="buy",M384,IF(I385="sell",0,IF(AND(I385="keep",N384&lt;&gt;0),N384+(N384*E384/100),N384)))</f>
        <v>1660.0683994557032</v>
      </c>
      <c r="O385">
        <f>O384+(O384*E385/100)</f>
        <v>1645.9308561818507</v>
      </c>
    </row>
    <row r="386" spans="1:15" x14ac:dyDescent="0.25">
      <c r="A386" s="1">
        <v>45636</v>
      </c>
      <c r="B386">
        <v>1.2270703032313</v>
      </c>
      <c r="C386">
        <v>-0.33879592264317498</v>
      </c>
      <c r="D386">
        <v>0.41338164598412303</v>
      </c>
      <c r="E386">
        <v>-3.0548297394170199</v>
      </c>
      <c r="F386" s="3">
        <v>0.37625471676655298</v>
      </c>
      <c r="G386" t="str">
        <f t="shared" si="34"/>
        <v>buy</v>
      </c>
      <c r="H386">
        <f t="shared" si="35"/>
        <v>0</v>
      </c>
      <c r="I386" t="str">
        <f t="shared" si="36"/>
        <v>keep</v>
      </c>
      <c r="J386">
        <f t="shared" si="38"/>
        <v>0</v>
      </c>
      <c r="K386">
        <f t="shared" si="39"/>
        <v>0</v>
      </c>
      <c r="L386">
        <f t="shared" si="37"/>
        <v>0</v>
      </c>
      <c r="M386">
        <f>IF(I386="sell",N385+(N385*E386/100),IF(I386="buy",0,M385))</f>
        <v>0</v>
      </c>
      <c r="N386">
        <f>IF(I386="buy",M385,IF(I386="sell",0,IF(AND(I386="keep",N385&lt;&gt;0),N385+(N385*E385/100),N385)))</f>
        <v>1632.7843235810155</v>
      </c>
      <c r="O386">
        <f>O385+(O385*E386/100)</f>
        <v>1595.6504708969662</v>
      </c>
    </row>
    <row r="387" spans="1:15" x14ac:dyDescent="0.25">
      <c r="A387" s="1">
        <v>45637</v>
      </c>
      <c r="B387">
        <v>1.3419317119437599</v>
      </c>
      <c r="C387">
        <v>1.8522905883346401</v>
      </c>
      <c r="D387">
        <v>-0.51660570478496703</v>
      </c>
      <c r="E387">
        <v>-0.40399503086757599</v>
      </c>
      <c r="F387" s="3">
        <v>0.51545342586632104</v>
      </c>
      <c r="G387" t="str">
        <f t="shared" ref="G387:G450" si="40">IF(F387&gt;$R$2,"buy",IF(F387&lt;-$R$3,"sell","keep"))</f>
        <v>buy</v>
      </c>
      <c r="H387">
        <f t="shared" ref="H387:H450" si="41">IF(F387&lt;&gt;"",IF(OR(AND(F387&lt;0,E388&lt;0),AND(F387&gt;0,E388&gt;0)),1,0),"")</f>
        <v>1</v>
      </c>
      <c r="I387" t="str">
        <f t="shared" ref="I387:I450" si="42">IF(AND(G387="sell",N386&lt;&gt;0),"sell",IF(AND(G387="buy",M386&lt;&gt;0),"buy","keep"))</f>
        <v>keep</v>
      </c>
      <c r="J387">
        <f t="shared" si="38"/>
        <v>0</v>
      </c>
      <c r="K387">
        <f t="shared" si="39"/>
        <v>0</v>
      </c>
      <c r="L387">
        <f t="shared" ref="L387:L450" si="43">IF(AND(H387=1,OR(J387=1,K387=1)),1,0)</f>
        <v>0</v>
      </c>
      <c r="M387">
        <f>IF(I387="sell",N386+(N386*E387/100),IF(I387="buy",0,M386))</f>
        <v>0</v>
      </c>
      <c r="N387">
        <f>IF(I387="buy",M386,IF(I387="sell",0,IF(AND(I387="keep",N386&lt;&gt;0),N386+(N386*E386/100),N386)))</f>
        <v>1582.9055424837236</v>
      </c>
      <c r="O387">
        <f>O386+(O386*E387/100)</f>
        <v>1589.2041222845273</v>
      </c>
    </row>
    <row r="388" spans="1:15" x14ac:dyDescent="0.25">
      <c r="A388" s="1">
        <v>45638</v>
      </c>
      <c r="B388">
        <v>-1.6936150413769999</v>
      </c>
      <c r="C388">
        <v>-0.68328924349811904</v>
      </c>
      <c r="D388">
        <v>0.59636577731141305</v>
      </c>
      <c r="E388">
        <v>0.162255670570288</v>
      </c>
      <c r="F388" s="3">
        <v>-0.27101515750927202</v>
      </c>
      <c r="G388" t="str">
        <f t="shared" si="40"/>
        <v>sell</v>
      </c>
      <c r="H388">
        <f t="shared" si="41"/>
        <v>1</v>
      </c>
      <c r="I388" t="str">
        <f t="shared" si="42"/>
        <v>sell</v>
      </c>
      <c r="J388">
        <f t="shared" si="38"/>
        <v>0</v>
      </c>
      <c r="K388">
        <f t="shared" si="39"/>
        <v>1</v>
      </c>
      <c r="L388">
        <f t="shared" si="43"/>
        <v>1</v>
      </c>
      <c r="M388">
        <f>IF(I388="sell",N387+(N387*E388/100),IF(I388="buy",0,M387))</f>
        <v>1585.4738964861749</v>
      </c>
      <c r="N388">
        <f>IF(I388="buy",M387,IF(I388="sell",0,IF(AND(I388="keep",N387&lt;&gt;0),N387+(N387*E387/100),N387)))</f>
        <v>0</v>
      </c>
      <c r="O388">
        <f>O387+(O387*E388/100)</f>
        <v>1591.7826960898708</v>
      </c>
    </row>
    <row r="389" spans="1:15" x14ac:dyDescent="0.25">
      <c r="A389" s="1">
        <v>45639</v>
      </c>
      <c r="B389">
        <v>-1.17209302325581</v>
      </c>
      <c r="C389">
        <v>0.76325890135897601</v>
      </c>
      <c r="D389">
        <v>6.8559704091097906E-2</v>
      </c>
      <c r="E389">
        <v>-0.18898623616803101</v>
      </c>
      <c r="F389" s="3">
        <v>-7.1609242069322399E-2</v>
      </c>
      <c r="G389" t="str">
        <f t="shared" si="40"/>
        <v>keep</v>
      </c>
      <c r="H389">
        <f t="shared" si="41"/>
        <v>1</v>
      </c>
      <c r="I389" t="str">
        <f t="shared" si="42"/>
        <v>keep</v>
      </c>
      <c r="J389">
        <f t="shared" si="38"/>
        <v>0</v>
      </c>
      <c r="K389">
        <f t="shared" si="39"/>
        <v>0</v>
      </c>
      <c r="L389">
        <f t="shared" si="43"/>
        <v>0</v>
      </c>
      <c r="M389">
        <f>IF(I389="sell",N388+(N388*E389/100),IF(I389="buy",0,M388))</f>
        <v>1585.4738964861749</v>
      </c>
      <c r="N389">
        <f>IF(I389="buy",M388,IF(I389="sell",0,IF(AND(I389="keep",N388&lt;&gt;0),N388+(N388*E388/100),N388)))</f>
        <v>0</v>
      </c>
      <c r="O389">
        <f>O388+(O388*E389/100)</f>
        <v>1588.7744458845566</v>
      </c>
    </row>
    <row r="390" spans="1:15" x14ac:dyDescent="0.25">
      <c r="A390" s="1">
        <v>45642</v>
      </c>
      <c r="B390">
        <v>-0.17319644790097999</v>
      </c>
      <c r="C390">
        <v>1.45273886319028</v>
      </c>
      <c r="D390">
        <v>1.1727716775988799</v>
      </c>
      <c r="E390">
        <v>-1.40654204849521</v>
      </c>
      <c r="F390" s="3">
        <v>0.34936449580761197</v>
      </c>
      <c r="G390" t="str">
        <f t="shared" si="40"/>
        <v>buy</v>
      </c>
      <c r="H390">
        <f t="shared" si="41"/>
        <v>0</v>
      </c>
      <c r="I390" t="str">
        <f t="shared" si="42"/>
        <v>buy</v>
      </c>
      <c r="J390">
        <f t="shared" si="38"/>
        <v>1</v>
      </c>
      <c r="K390">
        <f t="shared" si="39"/>
        <v>0</v>
      </c>
      <c r="L390">
        <f t="shared" si="43"/>
        <v>0</v>
      </c>
      <c r="M390">
        <f>IF(I390="sell",N389+(N389*E390/100),IF(I390="buy",0,M389))</f>
        <v>0</v>
      </c>
      <c r="N390">
        <f>IF(I390="buy",M389,IF(I390="sell",0,IF(AND(I390="keep",N389&lt;&gt;0),N389+(N389*E389/100),N389)))</f>
        <v>1585.4738964861749</v>
      </c>
      <c r="O390">
        <f>O389+(O389*E390/100)</f>
        <v>1566.4276652474434</v>
      </c>
    </row>
    <row r="391" spans="1:15" x14ac:dyDescent="0.25">
      <c r="A391" s="1">
        <v>45643</v>
      </c>
      <c r="B391">
        <v>-0.26401147536485498</v>
      </c>
      <c r="C391">
        <v>-0.432554410707919</v>
      </c>
      <c r="D391">
        <v>0.97195746290943397</v>
      </c>
      <c r="E391">
        <v>-0.16461493004441499</v>
      </c>
      <c r="F391" s="3">
        <v>0.108010120399926</v>
      </c>
      <c r="G391" t="str">
        <f t="shared" si="40"/>
        <v>keep</v>
      </c>
      <c r="H391">
        <f t="shared" si="41"/>
        <v>1</v>
      </c>
      <c r="I391" t="str">
        <f t="shared" si="42"/>
        <v>keep</v>
      </c>
      <c r="J391">
        <f t="shared" si="38"/>
        <v>0</v>
      </c>
      <c r="K391">
        <f t="shared" si="39"/>
        <v>0</v>
      </c>
      <c r="L391">
        <f t="shared" si="43"/>
        <v>0</v>
      </c>
      <c r="M391">
        <f>IF(I391="sell",N390+(N390*E391/100),IF(I391="buy",0,M390))</f>
        <v>0</v>
      </c>
      <c r="N391">
        <f>IF(I391="buy",M390,IF(I391="sell",0,IF(AND(I391="keep",N390&lt;&gt;0),N390+(N390*E390/100),N390)))</f>
        <v>1563.1735394641814</v>
      </c>
      <c r="O391">
        <f>O390+(O390*E391/100)</f>
        <v>1563.8490914421</v>
      </c>
    </row>
    <row r="392" spans="1:15" x14ac:dyDescent="0.25">
      <c r="A392" s="1">
        <v>45644</v>
      </c>
      <c r="B392">
        <v>-0.29874083480143598</v>
      </c>
      <c r="C392">
        <v>-3.5987313477951499</v>
      </c>
      <c r="D392">
        <v>-2.1421793232994699</v>
      </c>
      <c r="E392">
        <v>0.24732404349379</v>
      </c>
      <c r="F392" s="3">
        <v>-0.62419769522055302</v>
      </c>
      <c r="G392" t="str">
        <f t="shared" si="40"/>
        <v>sell</v>
      </c>
      <c r="H392">
        <f t="shared" si="41"/>
        <v>1</v>
      </c>
      <c r="I392" t="str">
        <f t="shared" si="42"/>
        <v>sell</v>
      </c>
      <c r="J392">
        <f t="shared" si="38"/>
        <v>0</v>
      </c>
      <c r="K392">
        <f t="shared" si="39"/>
        <v>1</v>
      </c>
      <c r="L392">
        <f t="shared" si="43"/>
        <v>1</v>
      </c>
      <c r="M392">
        <f>IF(I392="sell",N391+(N391*E392/100),IF(I392="buy",0,M391))</f>
        <v>1567.0396434688093</v>
      </c>
      <c r="N392">
        <f>IF(I392="buy",M391,IF(I392="sell",0,IF(AND(I392="keep",N391&lt;&gt;0),N391+(N391*E391/100),N391)))</f>
        <v>0</v>
      </c>
      <c r="O392">
        <f>O391+(O391*E392/100)</f>
        <v>1567.7168662491954</v>
      </c>
    </row>
    <row r="393" spans="1:15" x14ac:dyDescent="0.25">
      <c r="A393" s="1">
        <v>45645</v>
      </c>
      <c r="B393">
        <v>-1.6802597696994099</v>
      </c>
      <c r="C393">
        <v>-0.46588266582387999</v>
      </c>
      <c r="D393">
        <v>0.70147011560826</v>
      </c>
      <c r="E393">
        <v>-2.7412273732387402</v>
      </c>
      <c r="F393" s="3">
        <v>-0.25952085479678899</v>
      </c>
      <c r="G393" t="str">
        <f t="shared" si="40"/>
        <v>sell</v>
      </c>
      <c r="H393">
        <f t="shared" si="41"/>
        <v>0</v>
      </c>
      <c r="I393" t="str">
        <f t="shared" si="42"/>
        <v>keep</v>
      </c>
      <c r="J393">
        <f t="shared" si="38"/>
        <v>0</v>
      </c>
      <c r="K393">
        <f t="shared" si="39"/>
        <v>0</v>
      </c>
      <c r="L393">
        <f t="shared" si="43"/>
        <v>0</v>
      </c>
      <c r="M393">
        <f>IF(I393="sell",N392+(N392*E393/100),IF(I393="buy",0,M392))</f>
        <v>1567.0396434688093</v>
      </c>
      <c r="N393">
        <f>IF(I393="buy",M392,IF(I393="sell",0,IF(AND(I393="keep",N392&lt;&gt;0),N392+(N392*E392/100),N392)))</f>
        <v>0</v>
      </c>
      <c r="O393">
        <f>O392+(O392*E393/100)</f>
        <v>1524.742182376692</v>
      </c>
    </row>
    <row r="394" spans="1:15" x14ac:dyDescent="0.25">
      <c r="A394" s="1">
        <v>45646</v>
      </c>
      <c r="B394">
        <v>1.4080703914641699</v>
      </c>
      <c r="C394">
        <v>0.84621653850769296</v>
      </c>
      <c r="D394">
        <v>1.88158437635688</v>
      </c>
      <c r="E394">
        <v>0.98647831747700199</v>
      </c>
      <c r="F394" s="3">
        <v>0.725858811970713</v>
      </c>
      <c r="G394" t="str">
        <f t="shared" si="40"/>
        <v>buy</v>
      </c>
      <c r="H394">
        <f t="shared" si="41"/>
        <v>0</v>
      </c>
      <c r="I394" t="str">
        <f t="shared" si="42"/>
        <v>buy</v>
      </c>
      <c r="J394">
        <f t="shared" si="38"/>
        <v>1</v>
      </c>
      <c r="K394">
        <f t="shared" si="39"/>
        <v>0</v>
      </c>
      <c r="L394">
        <f t="shared" si="43"/>
        <v>0</v>
      </c>
      <c r="M394">
        <f>IF(I394="sell",N393+(N393*E394/100),IF(I394="buy",0,M393))</f>
        <v>0</v>
      </c>
      <c r="N394">
        <f>IF(I394="buy",M393,IF(I394="sell",0,IF(AND(I394="keep",N393&lt;&gt;0),N393+(N393*E393/100),N393)))</f>
        <v>1567.0396434688093</v>
      </c>
      <c r="O394">
        <f>O393+(O393*E394/100)</f>
        <v>1539.7834334032636</v>
      </c>
    </row>
    <row r="395" spans="1:15" x14ac:dyDescent="0.25">
      <c r="A395" s="1">
        <v>45649</v>
      </c>
      <c r="B395">
        <v>-0.62387882407190998</v>
      </c>
      <c r="C395">
        <v>1.0052986019782399</v>
      </c>
      <c r="D395">
        <v>0.306495779569737</v>
      </c>
      <c r="E395">
        <v>-0.53029521157750203</v>
      </c>
      <c r="F395" s="3">
        <v>0.105019812427642</v>
      </c>
      <c r="G395" t="str">
        <f t="shared" si="40"/>
        <v>keep</v>
      </c>
      <c r="H395">
        <f t="shared" si="41"/>
        <v>1</v>
      </c>
      <c r="I395" t="str">
        <f t="shared" si="42"/>
        <v>keep</v>
      </c>
      <c r="J395">
        <f t="shared" si="38"/>
        <v>0</v>
      </c>
      <c r="K395">
        <f t="shared" si="39"/>
        <v>0</v>
      </c>
      <c r="L395">
        <f t="shared" si="43"/>
        <v>0</v>
      </c>
      <c r="M395">
        <f>IF(I395="sell",N394+(N394*E395/100),IF(I395="buy",0,M394))</f>
        <v>0</v>
      </c>
      <c r="N395">
        <f>IF(I395="buy",M394,IF(I395="sell",0,IF(AND(I395="keep",N394&lt;&gt;0),N394+(N394*E394/100),N394)))</f>
        <v>1582.4981497778981</v>
      </c>
      <c r="O395">
        <f>O394+(O394*E395/100)</f>
        <v>1531.6180355872625</v>
      </c>
    </row>
    <row r="396" spans="1:15" x14ac:dyDescent="0.25">
      <c r="A396" s="1">
        <v>45650</v>
      </c>
      <c r="B396">
        <v>0.29475753274701399</v>
      </c>
      <c r="C396">
        <v>1.3694746859179401</v>
      </c>
      <c r="D396">
        <v>1.14781068608345</v>
      </c>
      <c r="E396">
        <v>1.7676783255956501</v>
      </c>
      <c r="F396" s="3">
        <v>0.45298467776145201</v>
      </c>
      <c r="G396" t="str">
        <f t="shared" si="40"/>
        <v>buy</v>
      </c>
      <c r="H396">
        <f t="shared" si="41"/>
        <v>1</v>
      </c>
      <c r="I396" t="str">
        <f t="shared" si="42"/>
        <v>keep</v>
      </c>
      <c r="J396">
        <f t="shared" si="38"/>
        <v>0</v>
      </c>
      <c r="K396">
        <f t="shared" si="39"/>
        <v>0</v>
      </c>
      <c r="L396">
        <f t="shared" si="43"/>
        <v>0</v>
      </c>
      <c r="M396">
        <f>IF(I396="sell",N395+(N395*E396/100),IF(I396="buy",0,M395))</f>
        <v>0</v>
      </c>
      <c r="N396">
        <f>IF(I396="buy",M395,IF(I396="sell",0,IF(AND(I396="keep",N395&lt;&gt;0),N395+(N395*E395/100),N395)))</f>
        <v>1574.1062378663235</v>
      </c>
      <c r="O396">
        <f>O395+(O395*E396/100)</f>
        <v>1558.6921156332523</v>
      </c>
    </row>
    <row r="397" spans="1:15" x14ac:dyDescent="0.25">
      <c r="A397" s="1">
        <v>45656</v>
      </c>
      <c r="B397">
        <v>-0.42411178827413898</v>
      </c>
      <c r="C397">
        <v>-1.2850064570491999</v>
      </c>
      <c r="D397">
        <v>-1.3263325634749401</v>
      </c>
      <c r="E397">
        <v>5.5342320404050398E-2</v>
      </c>
      <c r="F397" s="3">
        <v>-0.32686476528029101</v>
      </c>
      <c r="G397" t="str">
        <f t="shared" si="40"/>
        <v>sell</v>
      </c>
      <c r="H397">
        <f t="shared" si="41"/>
        <v>0</v>
      </c>
      <c r="I397" t="str">
        <f t="shared" si="42"/>
        <v>sell</v>
      </c>
      <c r="J397">
        <f t="shared" si="38"/>
        <v>0</v>
      </c>
      <c r="K397">
        <f t="shared" si="39"/>
        <v>1</v>
      </c>
      <c r="L397">
        <f t="shared" si="43"/>
        <v>0</v>
      </c>
      <c r="M397">
        <f>IF(I397="sell",N396+(N396*E397/100),IF(I397="buy",0,M396))</f>
        <v>1574.9773847839836</v>
      </c>
      <c r="N397">
        <f>IF(I397="buy",M396,IF(I397="sell",0,IF(AND(I397="keep",N396&lt;&gt;0),N396+(N396*E396/100),N396)))</f>
        <v>0</v>
      </c>
      <c r="O397">
        <f>O396+(O396*E397/100)</f>
        <v>1559.5547320179987</v>
      </c>
    </row>
    <row r="398" spans="1:15" x14ac:dyDescent="0.25">
      <c r="A398" s="1">
        <v>45657</v>
      </c>
      <c r="B398">
        <v>0.88637629599874701</v>
      </c>
      <c r="C398">
        <v>-0.87238353584430095</v>
      </c>
      <c r="D398">
        <v>-0.70578991565637395</v>
      </c>
      <c r="E398">
        <v>0.55309498478790498</v>
      </c>
      <c r="F398" s="3">
        <v>7.1923489755102502E-2</v>
      </c>
      <c r="G398" t="str">
        <f t="shared" si="40"/>
        <v>keep</v>
      </c>
      <c r="H398">
        <f t="shared" si="41"/>
        <v>1</v>
      </c>
      <c r="I398" t="str">
        <f t="shared" si="42"/>
        <v>keep</v>
      </c>
      <c r="J398">
        <f t="shared" si="38"/>
        <v>0</v>
      </c>
      <c r="K398">
        <f t="shared" si="39"/>
        <v>0</v>
      </c>
      <c r="L398">
        <f t="shared" si="43"/>
        <v>0</v>
      </c>
      <c r="M398">
        <f>IF(I398="sell",N397+(N397*E398/100),IF(I398="buy",0,M397))</f>
        <v>1574.9773847839836</v>
      </c>
      <c r="N398">
        <f>IF(I398="buy",M397,IF(I398="sell",0,IF(AND(I398="keep",N397&lt;&gt;0),N397+(N397*E397/100),N397)))</f>
        <v>0</v>
      </c>
      <c r="O398">
        <f>O397+(O397*E398/100)</f>
        <v>1568.1805510258127</v>
      </c>
    </row>
    <row r="399" spans="1:15" x14ac:dyDescent="0.25">
      <c r="A399" s="1">
        <v>45659</v>
      </c>
      <c r="B399">
        <v>1.12961934137558</v>
      </c>
      <c r="C399">
        <v>-0.17395053145818901</v>
      </c>
      <c r="D399">
        <v>-2.6235928654051102</v>
      </c>
      <c r="E399">
        <v>1.1001053421012501</v>
      </c>
      <c r="F399" s="3">
        <v>-2.6979837802007099E-2</v>
      </c>
      <c r="G399" t="str">
        <f t="shared" si="40"/>
        <v>keep</v>
      </c>
      <c r="H399">
        <f t="shared" si="41"/>
        <v>0</v>
      </c>
      <c r="I399" t="str">
        <f t="shared" si="42"/>
        <v>keep</v>
      </c>
      <c r="J399">
        <f t="shared" si="38"/>
        <v>0</v>
      </c>
      <c r="K399">
        <f t="shared" si="39"/>
        <v>0</v>
      </c>
      <c r="L399">
        <f t="shared" si="43"/>
        <v>0</v>
      </c>
      <c r="M399">
        <f>IF(I399="sell",N398+(N398*E399/100),IF(I399="buy",0,M398))</f>
        <v>1574.9773847839836</v>
      </c>
      <c r="N399">
        <f>IF(I399="buy",M398,IF(I399="sell",0,IF(AND(I399="keep",N398&lt;&gt;0),N398+(N398*E398/100),N398)))</f>
        <v>0</v>
      </c>
      <c r="O399">
        <f>O398+(O398*E399/100)</f>
        <v>1585.4321890414406</v>
      </c>
    </row>
    <row r="400" spans="1:15" x14ac:dyDescent="0.25">
      <c r="A400" s="1">
        <v>45660</v>
      </c>
      <c r="B400">
        <v>-0.52276892151892296</v>
      </c>
      <c r="C400">
        <v>1.6711831640100701</v>
      </c>
      <c r="D400">
        <v>-0.200936564150067</v>
      </c>
      <c r="E400">
        <v>0.29924357149964098</v>
      </c>
      <c r="F400" s="3">
        <v>0.151572654325347</v>
      </c>
      <c r="G400" t="str">
        <f t="shared" si="40"/>
        <v>buy</v>
      </c>
      <c r="H400">
        <f t="shared" si="41"/>
        <v>1</v>
      </c>
      <c r="I400" t="str">
        <f t="shared" si="42"/>
        <v>buy</v>
      </c>
      <c r="J400">
        <f t="shared" si="38"/>
        <v>1</v>
      </c>
      <c r="K400">
        <f t="shared" si="39"/>
        <v>0</v>
      </c>
      <c r="L400">
        <f t="shared" si="43"/>
        <v>1</v>
      </c>
      <c r="M400">
        <f>IF(I400="sell",N399+(N399*E400/100),IF(I400="buy",0,M399))</f>
        <v>0</v>
      </c>
      <c r="N400">
        <f>IF(I400="buy",M399,IF(I400="sell",0,IF(AND(I400="keep",N399&lt;&gt;0),N399+(N399*E399/100),N399)))</f>
        <v>1574.9773847839836</v>
      </c>
      <c r="O400">
        <f>O399+(O399*E400/100)</f>
        <v>1590.1764929476331</v>
      </c>
    </row>
    <row r="401" spans="1:15" x14ac:dyDescent="0.25">
      <c r="A401" s="1">
        <v>45663</v>
      </c>
      <c r="B401">
        <v>-0.249531102315692</v>
      </c>
      <c r="C401">
        <v>1.0941484169695499</v>
      </c>
      <c r="D401">
        <v>0.67389160973012596</v>
      </c>
      <c r="E401">
        <v>0.75943045318285196</v>
      </c>
      <c r="F401" s="3">
        <v>0.25131993129605101</v>
      </c>
      <c r="G401" t="str">
        <f t="shared" si="40"/>
        <v>buy</v>
      </c>
      <c r="H401">
        <f t="shared" si="41"/>
        <v>1</v>
      </c>
      <c r="I401" t="str">
        <f t="shared" si="42"/>
        <v>keep</v>
      </c>
      <c r="J401">
        <f t="shared" si="38"/>
        <v>0</v>
      </c>
      <c r="K401">
        <f t="shared" si="39"/>
        <v>0</v>
      </c>
      <c r="L401">
        <f t="shared" si="43"/>
        <v>0</v>
      </c>
      <c r="M401">
        <f>IF(I401="sell",N400+(N400*E401/100),IF(I401="buy",0,M400))</f>
        <v>0</v>
      </c>
      <c r="N401">
        <f>IF(I401="buy",M400,IF(I401="sell",0,IF(AND(I401="keep",N400&lt;&gt;0),N400+(N400*E400/100),N400)))</f>
        <v>1579.6904033605229</v>
      </c>
      <c r="O401">
        <f>O400+(O400*E401/100)</f>
        <v>1602.2527774944324</v>
      </c>
    </row>
    <row r="402" spans="1:15" x14ac:dyDescent="0.25">
      <c r="A402" s="1">
        <v>45664</v>
      </c>
      <c r="B402">
        <v>0.69360405948577497</v>
      </c>
      <c r="C402">
        <v>-1.7925320044527899</v>
      </c>
      <c r="D402">
        <v>-1.1387680251811301</v>
      </c>
      <c r="E402">
        <v>1.3458892268707301</v>
      </c>
      <c r="F402" s="3">
        <v>-0.125541134506756</v>
      </c>
      <c r="G402" t="str">
        <f t="shared" si="40"/>
        <v>keep</v>
      </c>
      <c r="H402">
        <f t="shared" si="41"/>
        <v>1</v>
      </c>
      <c r="I402" t="str">
        <f t="shared" si="42"/>
        <v>keep</v>
      </c>
      <c r="J402">
        <f t="shared" si="38"/>
        <v>0</v>
      </c>
      <c r="K402">
        <f t="shared" si="39"/>
        <v>0</v>
      </c>
      <c r="L402">
        <f t="shared" si="43"/>
        <v>0</v>
      </c>
      <c r="M402">
        <f>IF(I402="sell",N401+(N401*E402/100),IF(I402="buy",0,M401))</f>
        <v>0</v>
      </c>
      <c r="N402">
        <f>IF(I402="buy",M401,IF(I402="sell",0,IF(AND(I402="keep",N401&lt;&gt;0),N401+(N401*E401/100),N401)))</f>
        <v>1591.6870533496497</v>
      </c>
      <c r="O402">
        <f>O401+(O401*E402/100)</f>
        <v>1623.8173250139671</v>
      </c>
    </row>
    <row r="403" spans="1:15" x14ac:dyDescent="0.25">
      <c r="A403" s="1">
        <v>45665</v>
      </c>
      <c r="B403">
        <v>0.29359916330349201</v>
      </c>
      <c r="C403">
        <v>3.7461039964958802E-2</v>
      </c>
      <c r="D403">
        <v>0.202303416268589</v>
      </c>
      <c r="E403">
        <v>-0.79681998290260703</v>
      </c>
      <c r="F403" s="3">
        <v>0.17781037013110099</v>
      </c>
      <c r="G403" t="str">
        <f t="shared" si="40"/>
        <v>buy</v>
      </c>
      <c r="H403">
        <f t="shared" si="41"/>
        <v>0</v>
      </c>
      <c r="I403" t="str">
        <f t="shared" si="42"/>
        <v>keep</v>
      </c>
      <c r="J403">
        <f t="shared" si="38"/>
        <v>0</v>
      </c>
      <c r="K403">
        <f t="shared" si="39"/>
        <v>0</v>
      </c>
      <c r="L403">
        <f t="shared" si="43"/>
        <v>0</v>
      </c>
      <c r="M403">
        <f>IF(I403="sell",N402+(N402*E403/100),IF(I403="buy",0,M402))</f>
        <v>0</v>
      </c>
      <c r="N403">
        <f>IF(I403="buy",M402,IF(I403="sell",0,IF(AND(I403="keep",N402&lt;&gt;0),N402+(N402*E402/100),N402)))</f>
        <v>1613.1093979261789</v>
      </c>
      <c r="O403">
        <f>O402+(O402*E403/100)</f>
        <v>1610.8784240824211</v>
      </c>
    </row>
    <row r="404" spans="1:15" x14ac:dyDescent="0.25">
      <c r="A404" s="1">
        <v>45670</v>
      </c>
      <c r="B404">
        <v>-1.2922281705741101</v>
      </c>
      <c r="C404">
        <v>-0.30151880824746902</v>
      </c>
      <c r="D404">
        <v>-1.0344145175389801</v>
      </c>
      <c r="E404">
        <v>-3.3342421906901101</v>
      </c>
      <c r="F404" s="3">
        <v>-0.33883594091476499</v>
      </c>
      <c r="G404" t="str">
        <f t="shared" si="40"/>
        <v>sell</v>
      </c>
      <c r="H404">
        <f t="shared" si="41"/>
        <v>1</v>
      </c>
      <c r="I404" t="str">
        <f t="shared" si="42"/>
        <v>sell</v>
      </c>
      <c r="J404">
        <f t="shared" si="38"/>
        <v>0</v>
      </c>
      <c r="K404">
        <f t="shared" si="39"/>
        <v>1</v>
      </c>
      <c r="L404">
        <f t="shared" si="43"/>
        <v>1</v>
      </c>
      <c r="M404">
        <f>IF(I404="sell",N403+(N403*E404/100),IF(I404="buy",0,M403))</f>
        <v>1559.3244237985371</v>
      </c>
      <c r="N404">
        <f>IF(I404="buy",M403,IF(I404="sell",0,IF(AND(I404="keep",N403&lt;&gt;0),N403+(N403*E403/100),N403)))</f>
        <v>0</v>
      </c>
      <c r="O404">
        <f>O403+(O403*E404/100)</f>
        <v>1557.1678360259411</v>
      </c>
    </row>
    <row r="405" spans="1:15" x14ac:dyDescent="0.25">
      <c r="A405" s="1">
        <v>45671</v>
      </c>
      <c r="B405">
        <v>0.14961660744343599</v>
      </c>
      <c r="C405">
        <v>-0.131397228113316</v>
      </c>
      <c r="D405">
        <v>-0.47782324313101399</v>
      </c>
      <c r="E405">
        <v>-0.22433781052305601</v>
      </c>
      <c r="F405" s="3">
        <v>3.7291242099036698E-2</v>
      </c>
      <c r="G405" t="str">
        <f t="shared" si="40"/>
        <v>keep</v>
      </c>
      <c r="H405">
        <f t="shared" si="41"/>
        <v>1</v>
      </c>
      <c r="I405" t="str">
        <f t="shared" si="42"/>
        <v>keep</v>
      </c>
      <c r="J405">
        <f t="shared" si="38"/>
        <v>0</v>
      </c>
      <c r="K405">
        <f t="shared" si="39"/>
        <v>0</v>
      </c>
      <c r="L405">
        <f t="shared" si="43"/>
        <v>0</v>
      </c>
      <c r="M405">
        <f>IF(I405="sell",N404+(N404*E405/100),IF(I405="buy",0,M404))</f>
        <v>1559.3244237985371</v>
      </c>
      <c r="N405">
        <f>IF(I405="buy",M404,IF(I405="sell",0,IF(AND(I405="keep",N404&lt;&gt;0),N404+(N404*E404/100),N404)))</f>
        <v>0</v>
      </c>
      <c r="O405">
        <f>O404+(O404*E405/100)</f>
        <v>1553.6745197964312</v>
      </c>
    </row>
    <row r="406" spans="1:15" x14ac:dyDescent="0.25">
      <c r="A406" s="1">
        <v>45672</v>
      </c>
      <c r="B406">
        <v>1.3071895424836499</v>
      </c>
      <c r="C406">
        <v>2.3145442977159498</v>
      </c>
      <c r="D406">
        <v>1.96759347475103</v>
      </c>
      <c r="E406">
        <v>3.0635103138543802</v>
      </c>
      <c r="F406" s="3">
        <v>0.87591143752320699</v>
      </c>
      <c r="G406" t="str">
        <f t="shared" si="40"/>
        <v>buy</v>
      </c>
      <c r="H406">
        <f t="shared" si="41"/>
        <v>1</v>
      </c>
      <c r="I406" t="str">
        <f t="shared" si="42"/>
        <v>buy</v>
      </c>
      <c r="J406">
        <f t="shared" si="38"/>
        <v>1</v>
      </c>
      <c r="K406">
        <f t="shared" si="39"/>
        <v>0</v>
      </c>
      <c r="L406">
        <f t="shared" si="43"/>
        <v>1</v>
      </c>
      <c r="M406">
        <f>IF(I406="sell",N405+(N405*E406/100),IF(I406="buy",0,M405))</f>
        <v>0</v>
      </c>
      <c r="N406">
        <f>IF(I406="buy",M405,IF(I406="sell",0,IF(AND(I406="keep",N405&lt;&gt;0),N405+(N405*E405/100),N405)))</f>
        <v>1559.3244237985371</v>
      </c>
      <c r="O406">
        <f>O405+(O405*E406/100)</f>
        <v>1601.2714989541225</v>
      </c>
    </row>
    <row r="407" spans="1:15" x14ac:dyDescent="0.25">
      <c r="A407" s="1">
        <v>45673</v>
      </c>
      <c r="B407">
        <v>1.24976598502304</v>
      </c>
      <c r="C407">
        <v>-0.69027520239284201</v>
      </c>
      <c r="D407">
        <v>-4.0400196921680998</v>
      </c>
      <c r="E407">
        <v>0.21816979828779201</v>
      </c>
      <c r="F407" s="3">
        <v>-0.218484691559554</v>
      </c>
      <c r="G407" t="str">
        <f t="shared" si="40"/>
        <v>sell</v>
      </c>
      <c r="H407">
        <f t="shared" si="41"/>
        <v>0</v>
      </c>
      <c r="I407" t="str">
        <f t="shared" si="42"/>
        <v>sell</v>
      </c>
      <c r="J407">
        <f t="shared" si="38"/>
        <v>0</v>
      </c>
      <c r="K407">
        <f t="shared" si="39"/>
        <v>1</v>
      </c>
      <c r="L407">
        <f t="shared" si="43"/>
        <v>0</v>
      </c>
      <c r="M407">
        <f>IF(I407="sell",N406+(N406*E407/100),IF(I407="buy",0,M406))</f>
        <v>1562.7263987485906</v>
      </c>
      <c r="N407">
        <f>IF(I407="buy",M406,IF(I407="sell",0,IF(AND(I407="keep",N406&lt;&gt;0),N406+(N406*E406/100),N406)))</f>
        <v>0</v>
      </c>
      <c r="O407">
        <f>O406+(O406*E407/100)</f>
        <v>1604.7649897534307</v>
      </c>
    </row>
    <row r="408" spans="1:15" x14ac:dyDescent="0.25">
      <c r="A408" s="1">
        <v>45674</v>
      </c>
      <c r="B408">
        <v>-7.6458403375012599E-2</v>
      </c>
      <c r="C408">
        <v>1.65902995910627</v>
      </c>
      <c r="D408">
        <v>0.753517265599845</v>
      </c>
      <c r="E408">
        <v>1.5510160035959</v>
      </c>
      <c r="F408" s="3">
        <v>0.37295185664364899</v>
      </c>
      <c r="G408" t="str">
        <f t="shared" si="40"/>
        <v>buy</v>
      </c>
      <c r="H408">
        <f t="shared" si="41"/>
        <v>0</v>
      </c>
      <c r="I408" t="str">
        <f t="shared" si="42"/>
        <v>buy</v>
      </c>
      <c r="J408">
        <f t="shared" si="38"/>
        <v>1</v>
      </c>
      <c r="K408">
        <f t="shared" si="39"/>
        <v>0</v>
      </c>
      <c r="L408">
        <f t="shared" si="43"/>
        <v>0</v>
      </c>
      <c r="M408">
        <f>IF(I408="sell",N407+(N407*E408/100),IF(I408="buy",0,M407))</f>
        <v>0</v>
      </c>
      <c r="N408">
        <f>IF(I408="buy",M407,IF(I408="sell",0,IF(AND(I408="keep",N407&lt;&gt;0),N407+(N407*E407/100),N407)))</f>
        <v>1562.7263987485906</v>
      </c>
      <c r="O408">
        <f>O407+(O407*E408/100)</f>
        <v>1629.6551515646104</v>
      </c>
    </row>
    <row r="409" spans="1:15" x14ac:dyDescent="0.25">
      <c r="A409" s="1">
        <v>45679</v>
      </c>
      <c r="B409">
        <v>0.45735381692377702</v>
      </c>
      <c r="C409">
        <v>1.3284033322426401</v>
      </c>
      <c r="D409">
        <v>0.53450407704107505</v>
      </c>
      <c r="E409">
        <v>-0.85287694268042502</v>
      </c>
      <c r="F409" s="3">
        <v>0.40829862693061098</v>
      </c>
      <c r="G409" t="str">
        <f t="shared" si="40"/>
        <v>buy</v>
      </c>
      <c r="H409">
        <f t="shared" si="41"/>
        <v>1</v>
      </c>
      <c r="I409" t="str">
        <f t="shared" si="42"/>
        <v>keep</v>
      </c>
      <c r="J409">
        <f t="shared" si="38"/>
        <v>0</v>
      </c>
      <c r="K409">
        <f t="shared" si="39"/>
        <v>0</v>
      </c>
      <c r="L409">
        <f t="shared" si="43"/>
        <v>0</v>
      </c>
      <c r="M409">
        <f>IF(I409="sell",N408+(N408*E409/100),IF(I409="buy",0,M408))</f>
        <v>0</v>
      </c>
      <c r="N409">
        <f>IF(I409="buy",M408,IF(I409="sell",0,IF(AND(I409="keep",N408&lt;&gt;0),N408+(N408*E408/100),N408)))</f>
        <v>1586.9645352855991</v>
      </c>
      <c r="O409">
        <f>O408+(O408*E409/100)</f>
        <v>1615.756198531712</v>
      </c>
    </row>
    <row r="410" spans="1:15" x14ac:dyDescent="0.25">
      <c r="A410" s="1">
        <v>45680</v>
      </c>
      <c r="B410">
        <v>-0.16259574509376301</v>
      </c>
      <c r="C410">
        <v>0.219327723882312</v>
      </c>
      <c r="D410">
        <v>-7.5950781756861596E-2</v>
      </c>
      <c r="E410">
        <v>1.7741923697251301</v>
      </c>
      <c r="F410" s="3">
        <v>8.0011736998975194E-2</v>
      </c>
      <c r="G410" t="str">
        <f t="shared" si="40"/>
        <v>keep</v>
      </c>
      <c r="H410">
        <f t="shared" si="41"/>
        <v>1</v>
      </c>
      <c r="I410" t="str">
        <f t="shared" si="42"/>
        <v>keep</v>
      </c>
      <c r="J410">
        <f t="shared" si="38"/>
        <v>0</v>
      </c>
      <c r="K410">
        <f t="shared" si="39"/>
        <v>0</v>
      </c>
      <c r="L410">
        <f t="shared" si="43"/>
        <v>0</v>
      </c>
      <c r="M410">
        <f>IF(I410="sell",N409+(N409*E410/100),IF(I410="buy",0,M409))</f>
        <v>0</v>
      </c>
      <c r="N410">
        <f>IF(I410="buy",M409,IF(I410="sell",0,IF(AND(I410="keep",N409&lt;&gt;0),N409+(N409*E409/100),N409)))</f>
        <v>1573.4296806756327</v>
      </c>
      <c r="O410">
        <f>O409+(O409*E410/100)</f>
        <v>1644.4228217194225</v>
      </c>
    </row>
    <row r="411" spans="1:15" x14ac:dyDescent="0.25">
      <c r="A411" s="1">
        <v>45681</v>
      </c>
      <c r="B411">
        <v>0.51391374434535098</v>
      </c>
      <c r="C411">
        <v>-0.57951842084329397</v>
      </c>
      <c r="D411">
        <v>-0.39346106134909797</v>
      </c>
      <c r="E411">
        <v>1.42630555752956</v>
      </c>
      <c r="F411" s="3">
        <v>8.4914777683650494E-2</v>
      </c>
      <c r="G411" t="str">
        <f t="shared" si="40"/>
        <v>keep</v>
      </c>
      <c r="H411">
        <f t="shared" si="41"/>
        <v>1</v>
      </c>
      <c r="I411" t="str">
        <f t="shared" si="42"/>
        <v>keep</v>
      </c>
      <c r="J411">
        <f t="shared" si="38"/>
        <v>0</v>
      </c>
      <c r="K411">
        <f t="shared" si="39"/>
        <v>0</v>
      </c>
      <c r="L411">
        <f t="shared" si="43"/>
        <v>0</v>
      </c>
      <c r="M411">
        <f>IF(I411="sell",N410+(N410*E411/100),IF(I411="buy",0,M410))</f>
        <v>0</v>
      </c>
      <c r="N411">
        <f>IF(I411="buy",M410,IF(I411="sell",0,IF(AND(I411="keep",N410&lt;&gt;0),N410+(N410*E410/100),N410)))</f>
        <v>1601.3453500131702</v>
      </c>
      <c r="O411">
        <f>O410+(O410*E411/100)</f>
        <v>1667.8773158148911</v>
      </c>
    </row>
    <row r="412" spans="1:15" x14ac:dyDescent="0.25">
      <c r="A412" s="1">
        <v>45684</v>
      </c>
      <c r="B412">
        <v>-1.4330482169155101</v>
      </c>
      <c r="C412">
        <v>-2.9701946297966799</v>
      </c>
      <c r="D412">
        <v>3.1780316097549099</v>
      </c>
      <c r="E412">
        <v>1.90104188084703</v>
      </c>
      <c r="F412" s="3">
        <v>-0.25906666800398298</v>
      </c>
      <c r="G412" t="str">
        <f t="shared" si="40"/>
        <v>sell</v>
      </c>
      <c r="H412">
        <f t="shared" si="41"/>
        <v>0</v>
      </c>
      <c r="I412" t="str">
        <f t="shared" si="42"/>
        <v>sell</v>
      </c>
      <c r="J412">
        <f t="shared" si="38"/>
        <v>0</v>
      </c>
      <c r="K412">
        <f t="shared" si="39"/>
        <v>1</v>
      </c>
      <c r="L412">
        <f t="shared" si="43"/>
        <v>0</v>
      </c>
      <c r="M412">
        <f>IF(I412="sell",N411+(N411*E412/100),IF(I412="buy",0,M411))</f>
        <v>1631.787595773917</v>
      </c>
      <c r="N412">
        <f>IF(I412="buy",M411,IF(I412="sell",0,IF(AND(I412="keep",N411&lt;&gt;0),N411+(N411*E411/100),N411)))</f>
        <v>0</v>
      </c>
      <c r="O412">
        <f>O411+(O411*E412/100)</f>
        <v>1699.5843621096794</v>
      </c>
    </row>
    <row r="413" spans="1:15" x14ac:dyDescent="0.25">
      <c r="A413" s="1">
        <v>45685</v>
      </c>
      <c r="B413">
        <v>1.07032141837899</v>
      </c>
      <c r="C413">
        <v>1.5892238697987999</v>
      </c>
      <c r="D413">
        <v>3.6543927124331699</v>
      </c>
      <c r="E413">
        <v>1.4055651704839101</v>
      </c>
      <c r="F413" s="3">
        <v>0.92837879409967805</v>
      </c>
      <c r="G413" t="str">
        <f t="shared" si="40"/>
        <v>buy</v>
      </c>
      <c r="H413">
        <f t="shared" si="41"/>
        <v>1</v>
      </c>
      <c r="I413" t="str">
        <f t="shared" si="42"/>
        <v>buy</v>
      </c>
      <c r="J413">
        <f t="shared" si="38"/>
        <v>1</v>
      </c>
      <c r="K413">
        <f t="shared" si="39"/>
        <v>0</v>
      </c>
      <c r="L413">
        <f t="shared" si="43"/>
        <v>1</v>
      </c>
      <c r="M413">
        <f>IF(I413="sell",N412+(N412*E413/100),IF(I413="buy",0,M412))</f>
        <v>0</v>
      </c>
      <c r="N413">
        <f>IF(I413="buy",M412,IF(I413="sell",0,IF(AND(I413="keep",N412&lt;&gt;0),N412+(N412*E412/100),N412)))</f>
        <v>1631.787595773917</v>
      </c>
      <c r="O413">
        <f>O412+(O412*E413/100)</f>
        <v>1723.4731279464843</v>
      </c>
    </row>
    <row r="414" spans="1:15" x14ac:dyDescent="0.25">
      <c r="A414" s="1">
        <v>45686</v>
      </c>
      <c r="B414">
        <v>8.3130287246424503E-2</v>
      </c>
      <c r="C414">
        <v>-0.24031137831788099</v>
      </c>
      <c r="D414">
        <v>0.46168680180211902</v>
      </c>
      <c r="E414">
        <v>0.20161003917447101</v>
      </c>
      <c r="F414" s="3">
        <v>0.14816338170193899</v>
      </c>
      <c r="G414" t="str">
        <f t="shared" si="40"/>
        <v>keep</v>
      </c>
      <c r="H414">
        <f t="shared" si="41"/>
        <v>1</v>
      </c>
      <c r="I414" t="str">
        <f t="shared" si="42"/>
        <v>keep</v>
      </c>
      <c r="J414">
        <f t="shared" si="38"/>
        <v>0</v>
      </c>
      <c r="K414">
        <f t="shared" si="39"/>
        <v>0</v>
      </c>
      <c r="L414">
        <f t="shared" si="43"/>
        <v>0</v>
      </c>
      <c r="M414">
        <f>IF(I414="sell",N413+(N413*E414/100),IF(I414="buy",0,M413))</f>
        <v>0</v>
      </c>
      <c r="N414">
        <f>IF(I414="buy",M413,IF(I414="sell",0,IF(AND(I414="keep",N413&lt;&gt;0),N413+(N413*E413/100),N413)))</f>
        <v>1654.7234338763919</v>
      </c>
      <c r="O414">
        <f>O413+(O413*E414/100)</f>
        <v>1726.9478227948987</v>
      </c>
    </row>
    <row r="415" spans="1:15" x14ac:dyDescent="0.25">
      <c r="A415" s="1">
        <v>45687</v>
      </c>
      <c r="B415">
        <v>1.9464772107505399</v>
      </c>
      <c r="C415">
        <v>0.45143207839550797</v>
      </c>
      <c r="D415">
        <v>-0.73947542499489505</v>
      </c>
      <c r="E415">
        <v>0.729377228621919</v>
      </c>
      <c r="F415" s="3">
        <v>0.45997368777117298</v>
      </c>
      <c r="G415" t="str">
        <f t="shared" si="40"/>
        <v>buy</v>
      </c>
      <c r="H415">
        <f t="shared" si="41"/>
        <v>1</v>
      </c>
      <c r="I415" t="str">
        <f t="shared" si="42"/>
        <v>keep</v>
      </c>
      <c r="J415">
        <f t="shared" si="38"/>
        <v>0</v>
      </c>
      <c r="K415">
        <f t="shared" si="39"/>
        <v>0</v>
      </c>
      <c r="L415">
        <f t="shared" si="43"/>
        <v>0</v>
      </c>
      <c r="M415">
        <f>IF(I415="sell",N414+(N414*E415/100),IF(I415="buy",0,M414))</f>
        <v>0</v>
      </c>
      <c r="N415">
        <f>IF(I415="buy",M414,IF(I415="sell",0,IF(AND(I415="keep",N414&lt;&gt;0),N414+(N414*E414/100),N414)))</f>
        <v>1658.0595224396593</v>
      </c>
      <c r="O415">
        <f>O414+(O414*E415/100)</f>
        <v>1739.5437869645466</v>
      </c>
    </row>
    <row r="416" spans="1:15" x14ac:dyDescent="0.25">
      <c r="A416" s="1">
        <v>45688</v>
      </c>
      <c r="B416">
        <v>-0.37194473963868502</v>
      </c>
      <c r="C416">
        <v>-0.139800040991056</v>
      </c>
      <c r="D416">
        <v>-0.669219558245293</v>
      </c>
      <c r="E416">
        <v>0.94881799022952196</v>
      </c>
      <c r="F416" s="3">
        <v>-6.0693999651279598E-2</v>
      </c>
      <c r="G416" t="str">
        <f t="shared" si="40"/>
        <v>keep</v>
      </c>
      <c r="H416">
        <f t="shared" si="41"/>
        <v>1</v>
      </c>
      <c r="I416" t="str">
        <f t="shared" si="42"/>
        <v>keep</v>
      </c>
      <c r="J416">
        <f t="shared" si="38"/>
        <v>0</v>
      </c>
      <c r="K416">
        <f t="shared" si="39"/>
        <v>0</v>
      </c>
      <c r="L416">
        <f t="shared" si="43"/>
        <v>0</v>
      </c>
      <c r="M416">
        <f>IF(I416="sell",N415+(N415*E416/100),IF(I416="buy",0,M415))</f>
        <v>0</v>
      </c>
      <c r="N416">
        <f>IF(I416="buy",M415,IF(I416="sell",0,IF(AND(I416="keep",N415&lt;&gt;0),N415+(N415*E415/100),N415)))</f>
        <v>1670.1530310333314</v>
      </c>
      <c r="O416">
        <f>O415+(O415*E416/100)</f>
        <v>1756.0488913631862</v>
      </c>
    </row>
    <row r="417" spans="1:15" x14ac:dyDescent="0.25">
      <c r="A417" s="1">
        <v>45691</v>
      </c>
      <c r="B417">
        <v>0.76088541666665599</v>
      </c>
      <c r="C417">
        <v>-0.84025643184785204</v>
      </c>
      <c r="D417">
        <v>-3.3855929066056198</v>
      </c>
      <c r="E417">
        <v>-1.3109002162816199</v>
      </c>
      <c r="F417" s="3">
        <v>-0.224430890337562</v>
      </c>
      <c r="G417" t="str">
        <f t="shared" si="40"/>
        <v>sell</v>
      </c>
      <c r="H417">
        <f t="shared" si="41"/>
        <v>1</v>
      </c>
      <c r="I417" t="str">
        <f t="shared" si="42"/>
        <v>sell</v>
      </c>
      <c r="J417">
        <f t="shared" si="38"/>
        <v>0</v>
      </c>
      <c r="K417">
        <f t="shared" si="39"/>
        <v>1</v>
      </c>
      <c r="L417">
        <f t="shared" si="43"/>
        <v>1</v>
      </c>
      <c r="M417">
        <f>IF(I417="sell",N416+(N416*E417/100),IF(I417="buy",0,M416))</f>
        <v>1648.2589913372815</v>
      </c>
      <c r="N417">
        <f>IF(I417="buy",M416,IF(I417="sell",0,IF(AND(I417="keep",N416&lt;&gt;0),N416+(N416*E416/100),N416)))</f>
        <v>0</v>
      </c>
      <c r="O417">
        <f>O416+(O416*E417/100)</f>
        <v>1733.0288426482953</v>
      </c>
    </row>
    <row r="418" spans="1:15" x14ac:dyDescent="0.25">
      <c r="A418" s="1">
        <v>45692</v>
      </c>
      <c r="B418">
        <v>0.68457416115264003</v>
      </c>
      <c r="C418">
        <v>1.2646499872849</v>
      </c>
      <c r="D418">
        <v>2.1007846077986101</v>
      </c>
      <c r="E418">
        <v>-0.90225776351370301</v>
      </c>
      <c r="F418" s="3">
        <v>0.628621527730852</v>
      </c>
      <c r="G418" t="str">
        <f t="shared" si="40"/>
        <v>buy</v>
      </c>
      <c r="H418">
        <f t="shared" si="41"/>
        <v>1</v>
      </c>
      <c r="I418" t="str">
        <f t="shared" si="42"/>
        <v>buy</v>
      </c>
      <c r="J418">
        <f t="shared" si="38"/>
        <v>1</v>
      </c>
      <c r="K418">
        <f t="shared" si="39"/>
        <v>0</v>
      </c>
      <c r="L418">
        <f t="shared" si="43"/>
        <v>1</v>
      </c>
      <c r="M418">
        <f>IF(I418="sell",N417+(N417*E418/100),IF(I418="buy",0,M417))</f>
        <v>0</v>
      </c>
      <c r="N418">
        <f>IF(I418="buy",M417,IF(I418="sell",0,IF(AND(I418="keep",N417&lt;&gt;0),N417+(N417*E417/100),N417)))</f>
        <v>1648.2589913372815</v>
      </c>
      <c r="O418">
        <f>O417+(O417*E418/100)</f>
        <v>1717.3924553715694</v>
      </c>
    </row>
    <row r="419" spans="1:15" x14ac:dyDescent="0.25">
      <c r="A419" s="1">
        <v>45693</v>
      </c>
      <c r="B419">
        <v>0.64136433305150797</v>
      </c>
      <c r="C419">
        <v>0.423056397044696</v>
      </c>
      <c r="D419">
        <v>-0.14174923520661101</v>
      </c>
      <c r="E419">
        <v>1.2898235067758399</v>
      </c>
      <c r="F419" s="3">
        <v>0.26290187693769401</v>
      </c>
      <c r="G419" t="str">
        <f t="shared" si="40"/>
        <v>buy</v>
      </c>
      <c r="H419">
        <f t="shared" si="41"/>
        <v>1</v>
      </c>
      <c r="I419" t="str">
        <f t="shared" si="42"/>
        <v>keep</v>
      </c>
      <c r="J419">
        <f t="shared" si="38"/>
        <v>0</v>
      </c>
      <c r="K419">
        <f t="shared" si="39"/>
        <v>0</v>
      </c>
      <c r="L419">
        <f t="shared" si="43"/>
        <v>0</v>
      </c>
      <c r="M419">
        <f>IF(I419="sell",N418+(N418*E419/100),IF(I419="buy",0,M418))</f>
        <v>0</v>
      </c>
      <c r="N419">
        <f>IF(I419="buy",M418,IF(I419="sell",0,IF(AND(I419="keep",N418&lt;&gt;0),N418+(N418*E418/100),N418)))</f>
        <v>1633.3874466251282</v>
      </c>
      <c r="O419">
        <f>O418+(O418*E419/100)</f>
        <v>1739.5437869645468</v>
      </c>
    </row>
    <row r="420" spans="1:15" x14ac:dyDescent="0.25">
      <c r="A420" s="1">
        <v>45694</v>
      </c>
      <c r="B420">
        <v>-0.54325453147123703</v>
      </c>
      <c r="C420">
        <v>0.53518006799184703</v>
      </c>
      <c r="D420">
        <v>0.32261765357470801</v>
      </c>
      <c r="E420">
        <v>1.77278257690118</v>
      </c>
      <c r="F420" s="3">
        <v>9.0662056871136695E-2</v>
      </c>
      <c r="G420" t="str">
        <f t="shared" si="40"/>
        <v>keep</v>
      </c>
      <c r="H420">
        <f t="shared" si="41"/>
        <v>0</v>
      </c>
      <c r="I420" t="str">
        <f t="shared" si="42"/>
        <v>keep</v>
      </c>
      <c r="J420">
        <f t="shared" si="38"/>
        <v>0</v>
      </c>
      <c r="K420">
        <f t="shared" si="39"/>
        <v>0</v>
      </c>
      <c r="L420">
        <f t="shared" si="43"/>
        <v>0</v>
      </c>
      <c r="M420">
        <f>IF(I420="sell",N419+(N419*E420/100),IF(I420="buy",0,M419))</f>
        <v>0</v>
      </c>
      <c r="N420">
        <f>IF(I420="buy",M419,IF(I420="sell",0,IF(AND(I420="keep",N419&lt;&gt;0),N419+(N419*E419/100),N419)))</f>
        <v>1654.4552618684247</v>
      </c>
      <c r="O420">
        <f>O419+(O419*E420/100)</f>
        <v>1770.3821161374212</v>
      </c>
    </row>
    <row r="421" spans="1:15" x14ac:dyDescent="0.25">
      <c r="A421" s="1">
        <v>45695</v>
      </c>
      <c r="B421">
        <v>0.39565997297357203</v>
      </c>
      <c r="C421">
        <v>-1.2986077548517601</v>
      </c>
      <c r="D421">
        <v>-2.3968731864698301</v>
      </c>
      <c r="E421">
        <v>-0.51520491530342405</v>
      </c>
      <c r="F421" s="3">
        <v>-0.24096901036962301</v>
      </c>
      <c r="G421" t="str">
        <f t="shared" si="40"/>
        <v>sell</v>
      </c>
      <c r="H421">
        <f t="shared" si="41"/>
        <v>0</v>
      </c>
      <c r="I421" t="str">
        <f t="shared" si="42"/>
        <v>sell</v>
      </c>
      <c r="J421">
        <f t="shared" si="38"/>
        <v>0</v>
      </c>
      <c r="K421">
        <f t="shared" si="39"/>
        <v>1</v>
      </c>
      <c r="L421">
        <f t="shared" si="43"/>
        <v>0</v>
      </c>
      <c r="M421">
        <f>IF(I421="sell",N420+(N420*E421/100),IF(I421="buy",0,M420))</f>
        <v>1645.9314270377824</v>
      </c>
      <c r="N421">
        <f>IF(I421="buy",M420,IF(I421="sell",0,IF(AND(I421="keep",N420&lt;&gt;0),N420+(N420*E420/100),N420)))</f>
        <v>0</v>
      </c>
      <c r="O421">
        <f>O420+(O420*E421/100)</f>
        <v>1761.2610204554285</v>
      </c>
    </row>
    <row r="422" spans="1:15" x14ac:dyDescent="0.25">
      <c r="A422" s="1">
        <v>45698</v>
      </c>
      <c r="B422">
        <v>1.6391727129920901</v>
      </c>
      <c r="C422">
        <v>1.2350104070949399</v>
      </c>
      <c r="D422">
        <v>0.118734392248653</v>
      </c>
      <c r="E422">
        <v>0.887795000009861</v>
      </c>
      <c r="F422" s="3">
        <v>0.59893096504038301</v>
      </c>
      <c r="G422" t="str">
        <f t="shared" si="40"/>
        <v>buy</v>
      </c>
      <c r="H422">
        <f t="shared" si="41"/>
        <v>1</v>
      </c>
      <c r="I422" t="str">
        <f t="shared" si="42"/>
        <v>buy</v>
      </c>
      <c r="J422">
        <f t="shared" si="38"/>
        <v>1</v>
      </c>
      <c r="K422">
        <f t="shared" si="39"/>
        <v>0</v>
      </c>
      <c r="L422">
        <f t="shared" si="43"/>
        <v>1</v>
      </c>
      <c r="M422">
        <f>IF(I422="sell",N421+(N421*E422/100),IF(I422="buy",0,M421))</f>
        <v>0</v>
      </c>
      <c r="N422">
        <f>IF(I422="buy",M421,IF(I422="sell",0,IF(AND(I422="keep",N421&lt;&gt;0),N421+(N421*E421/100),N421)))</f>
        <v>1645.9314270377824</v>
      </c>
      <c r="O422">
        <f>O421+(O421*E422/100)</f>
        <v>1776.8974077321545</v>
      </c>
    </row>
    <row r="423" spans="1:15" x14ac:dyDescent="0.25">
      <c r="A423" s="1">
        <v>45699</v>
      </c>
      <c r="B423">
        <v>-6.1766077547464798E-2</v>
      </c>
      <c r="C423">
        <v>-0.29053509483326601</v>
      </c>
      <c r="D423">
        <v>2.1831831975231699</v>
      </c>
      <c r="E423">
        <v>0.17110853411386101</v>
      </c>
      <c r="F423" s="3">
        <v>0.32086310576034899</v>
      </c>
      <c r="G423" t="str">
        <f t="shared" si="40"/>
        <v>buy</v>
      </c>
      <c r="H423">
        <f t="shared" si="41"/>
        <v>1</v>
      </c>
      <c r="I423" t="str">
        <f t="shared" si="42"/>
        <v>keep</v>
      </c>
      <c r="J423">
        <f t="shared" si="38"/>
        <v>0</v>
      </c>
      <c r="K423">
        <f t="shared" si="39"/>
        <v>0</v>
      </c>
      <c r="L423">
        <f t="shared" si="43"/>
        <v>0</v>
      </c>
      <c r="M423">
        <f>IF(I423="sell",N422+(N422*E423/100),IF(I423="buy",0,M422))</f>
        <v>0</v>
      </c>
      <c r="N423">
        <f>IF(I423="buy",M422,IF(I423="sell",0,IF(AND(I423="keep",N422&lt;&gt;0),N422+(N422*E422/100),N422)))</f>
        <v>1660.5439239506147</v>
      </c>
      <c r="O423">
        <f>O422+(O422*E423/100)</f>
        <v>1779.9378308392322</v>
      </c>
    </row>
    <row r="424" spans="1:15" x14ac:dyDescent="0.25">
      <c r="A424" s="1">
        <v>45700</v>
      </c>
      <c r="B424">
        <v>-0.120171673819746</v>
      </c>
      <c r="C424">
        <v>0.118654026323028</v>
      </c>
      <c r="D424">
        <v>1.82700859183342</v>
      </c>
      <c r="E424">
        <v>0.41483668415118702</v>
      </c>
      <c r="F424" s="3">
        <v>0.31102022831540599</v>
      </c>
      <c r="G424" t="str">
        <f t="shared" si="40"/>
        <v>buy</v>
      </c>
      <c r="H424">
        <f t="shared" si="41"/>
        <v>0</v>
      </c>
      <c r="I424" t="str">
        <f t="shared" si="42"/>
        <v>keep</v>
      </c>
      <c r="J424">
        <f t="shared" si="38"/>
        <v>0</v>
      </c>
      <c r="K424">
        <f t="shared" si="39"/>
        <v>0</v>
      </c>
      <c r="L424">
        <f t="shared" si="43"/>
        <v>0</v>
      </c>
      <c r="M424">
        <f>IF(I424="sell",N423+(N423*E424/100),IF(I424="buy",0,M423))</f>
        <v>0</v>
      </c>
      <c r="N424">
        <f>IF(I424="buy",M423,IF(I424="sell",0,IF(AND(I424="keep",N423&lt;&gt;0),N423+(N423*E423/100),N423)))</f>
        <v>1663.3852563172034</v>
      </c>
      <c r="O424">
        <f>O423+(O423*E424/100)</f>
        <v>1787.3216659166383</v>
      </c>
    </row>
    <row r="425" spans="1:15" x14ac:dyDescent="0.25">
      <c r="A425" s="1">
        <v>45701</v>
      </c>
      <c r="B425">
        <v>0.58095229782570901</v>
      </c>
      <c r="C425">
        <v>1.43398612676446</v>
      </c>
      <c r="D425">
        <v>1.9673303121208601</v>
      </c>
      <c r="E425">
        <v>-4.0826245797632499</v>
      </c>
      <c r="F425" s="3">
        <v>0.58961147963855798</v>
      </c>
      <c r="G425" t="str">
        <f t="shared" si="40"/>
        <v>buy</v>
      </c>
      <c r="H425">
        <f t="shared" si="41"/>
        <v>1</v>
      </c>
      <c r="I425" t="str">
        <f t="shared" si="42"/>
        <v>keep</v>
      </c>
      <c r="J425">
        <f t="shared" si="38"/>
        <v>0</v>
      </c>
      <c r="K425">
        <f t="shared" si="39"/>
        <v>0</v>
      </c>
      <c r="L425">
        <f t="shared" si="43"/>
        <v>0</v>
      </c>
      <c r="M425">
        <f>IF(I425="sell",N424+(N424*E425/100),IF(I425="buy",0,M424))</f>
        <v>0</v>
      </c>
      <c r="N425">
        <f>IF(I425="buy",M424,IF(I425="sell",0,IF(AND(I425="keep",N424&lt;&gt;0),N424+(N424*E424/100),N424)))</f>
        <v>1670.2855885591694</v>
      </c>
      <c r="O425">
        <f>O424+(O424*E425/100)</f>
        <v>1714.3520322644915</v>
      </c>
    </row>
    <row r="426" spans="1:15" x14ac:dyDescent="0.25">
      <c r="A426" s="1">
        <v>45702</v>
      </c>
      <c r="B426">
        <v>-1.44570238556747</v>
      </c>
      <c r="C426">
        <v>0.38118840496452699</v>
      </c>
      <c r="D426">
        <v>1.2710580458863601</v>
      </c>
      <c r="E426">
        <v>1.97618410001836</v>
      </c>
      <c r="F426" s="3">
        <v>-2.5965646739199499E-2</v>
      </c>
      <c r="G426" t="str">
        <f t="shared" si="40"/>
        <v>keep</v>
      </c>
      <c r="H426">
        <f t="shared" si="41"/>
        <v>1</v>
      </c>
      <c r="I426" t="str">
        <f t="shared" si="42"/>
        <v>keep</v>
      </c>
      <c r="J426">
        <f t="shared" si="38"/>
        <v>0</v>
      </c>
      <c r="K426">
        <f t="shared" si="39"/>
        <v>0</v>
      </c>
      <c r="L426">
        <f t="shared" si="43"/>
        <v>0</v>
      </c>
      <c r="M426">
        <f>IF(I426="sell",N425+(N425*E426/100),IF(I426="buy",0,M425))</f>
        <v>0</v>
      </c>
      <c r="N426">
        <f>IF(I426="buy",M425,IF(I426="sell",0,IF(AND(I426="keep",N425&lt;&gt;0),N425+(N425*E425/100),N425)))</f>
        <v>1602.0940985684094</v>
      </c>
      <c r="O426">
        <f>O425+(O425*E426/100)</f>
        <v>1748.2307845444441</v>
      </c>
    </row>
    <row r="427" spans="1:15" x14ac:dyDescent="0.25">
      <c r="A427" s="1">
        <v>45707</v>
      </c>
      <c r="B427">
        <v>-0.41616164913672499</v>
      </c>
      <c r="C427">
        <v>4.9584606654051698E-2</v>
      </c>
      <c r="D427">
        <v>0.163612583889505</v>
      </c>
      <c r="E427">
        <v>-0.37405330219678601</v>
      </c>
      <c r="F427" s="3">
        <v>3.3653338696064197E-2</v>
      </c>
      <c r="G427" t="str">
        <f t="shared" si="40"/>
        <v>keep</v>
      </c>
      <c r="H427">
        <f t="shared" si="41"/>
        <v>1</v>
      </c>
      <c r="I427" t="str">
        <f t="shared" si="42"/>
        <v>keep</v>
      </c>
      <c r="J427">
        <f t="shared" si="38"/>
        <v>0</v>
      </c>
      <c r="K427">
        <f t="shared" si="39"/>
        <v>0</v>
      </c>
      <c r="L427">
        <f t="shared" si="43"/>
        <v>0</v>
      </c>
      <c r="M427">
        <f>IF(I427="sell",N426+(N426*E427/100),IF(I427="buy",0,M426))</f>
        <v>0</v>
      </c>
      <c r="N427">
        <f>IF(I427="buy",M426,IF(I427="sell",0,IF(AND(I427="keep",N426&lt;&gt;0),N426+(N426*E426/100),N426)))</f>
        <v>1633.7544274116508</v>
      </c>
      <c r="O427">
        <f>O426+(O426*E427/100)</f>
        <v>1741.6914695648347</v>
      </c>
    </row>
    <row r="428" spans="1:15" x14ac:dyDescent="0.25">
      <c r="A428" s="1">
        <v>45708</v>
      </c>
      <c r="B428">
        <v>0.70562781206204805</v>
      </c>
      <c r="C428">
        <v>-0.48494320060926599</v>
      </c>
      <c r="D428">
        <v>0.392050052050541</v>
      </c>
      <c r="E428">
        <v>1.8773386052186101</v>
      </c>
      <c r="F428" s="3">
        <v>0.23751095770834599</v>
      </c>
      <c r="G428" t="str">
        <f t="shared" si="40"/>
        <v>buy</v>
      </c>
      <c r="H428">
        <f t="shared" si="41"/>
        <v>1</v>
      </c>
      <c r="I428" t="str">
        <f t="shared" si="42"/>
        <v>keep</v>
      </c>
      <c r="J428">
        <f t="shared" si="38"/>
        <v>0</v>
      </c>
      <c r="K428">
        <f t="shared" si="39"/>
        <v>0</v>
      </c>
      <c r="L428">
        <f t="shared" si="43"/>
        <v>0</v>
      </c>
      <c r="M428">
        <f>IF(I428="sell",N427+(N427*E428/100),IF(I428="buy",0,M427))</f>
        <v>0</v>
      </c>
      <c r="N428">
        <f>IF(I428="buy",M427,IF(I428="sell",0,IF(AND(I428="keep",N427&lt;&gt;0),N427+(N427*E427/100),N427)))</f>
        <v>1627.6433150261314</v>
      </c>
      <c r="O428">
        <f>O427+(O427*E428/100)</f>
        <v>1774.3889159067746</v>
      </c>
    </row>
    <row r="429" spans="1:15" x14ac:dyDescent="0.25">
      <c r="A429" s="1">
        <v>45709</v>
      </c>
      <c r="B429">
        <v>-8.1629331420063303E-2</v>
      </c>
      <c r="C429">
        <v>-2.0571833568504698</v>
      </c>
      <c r="D429">
        <v>-0.11390267898004899</v>
      </c>
      <c r="E429">
        <v>0.76167343811221999</v>
      </c>
      <c r="F429" s="3">
        <v>-0.16201969924849599</v>
      </c>
      <c r="G429" t="str">
        <f t="shared" si="40"/>
        <v>sell</v>
      </c>
      <c r="H429">
        <f t="shared" si="41"/>
        <v>0</v>
      </c>
      <c r="I429" t="str">
        <f t="shared" si="42"/>
        <v>sell</v>
      </c>
      <c r="J429">
        <f t="shared" si="38"/>
        <v>0</v>
      </c>
      <c r="K429">
        <f t="shared" si="39"/>
        <v>1</v>
      </c>
      <c r="L429">
        <f t="shared" si="43"/>
        <v>0</v>
      </c>
      <c r="M429">
        <f>IF(I429="sell",N428+(N428*E429/100),IF(I429="buy",0,M428))</f>
        <v>1640.0406418238947</v>
      </c>
      <c r="N429">
        <f>IF(I429="buy",M428,IF(I429="sell",0,IF(AND(I429="keep",N428&lt;&gt;0),N428+(N428*E428/100),N428)))</f>
        <v>0</v>
      </c>
      <c r="O429">
        <f>O428+(O428*E429/100)</f>
        <v>1787.903964968044</v>
      </c>
    </row>
    <row r="430" spans="1:15" x14ac:dyDescent="0.25">
      <c r="A430" s="1">
        <v>45712</v>
      </c>
      <c r="B430">
        <v>0.35061970129008901</v>
      </c>
      <c r="C430">
        <v>-1.21217280149323</v>
      </c>
      <c r="D430">
        <v>0.63123833828713205</v>
      </c>
      <c r="E430">
        <v>0.34138259952809502</v>
      </c>
      <c r="F430" s="3">
        <v>0.11262853482817101</v>
      </c>
      <c r="G430" t="str">
        <f t="shared" si="40"/>
        <v>keep</v>
      </c>
      <c r="H430">
        <f t="shared" si="41"/>
        <v>1</v>
      </c>
      <c r="I430" t="str">
        <f t="shared" si="42"/>
        <v>keep</v>
      </c>
      <c r="J430">
        <f t="shared" si="38"/>
        <v>0</v>
      </c>
      <c r="K430">
        <f t="shared" si="39"/>
        <v>0</v>
      </c>
      <c r="L430">
        <f t="shared" si="43"/>
        <v>0</v>
      </c>
      <c r="M430">
        <f>IF(I430="sell",N429+(N429*E430/100),IF(I430="buy",0,M429))</f>
        <v>1640.0406418238947</v>
      </c>
      <c r="N430">
        <f>IF(I430="buy",M429,IF(I430="sell",0,IF(AND(I430="keep",N429&lt;&gt;0),N429+(N429*E429/100),N429)))</f>
        <v>0</v>
      </c>
      <c r="O430">
        <f>O429+(O429*E430/100)</f>
        <v>1794.0075580007178</v>
      </c>
    </row>
    <row r="431" spans="1:15" x14ac:dyDescent="0.25">
      <c r="A431" s="1">
        <v>45713</v>
      </c>
      <c r="B431">
        <v>-1.47223120802861</v>
      </c>
      <c r="C431">
        <v>-1.24030107210171</v>
      </c>
      <c r="D431">
        <v>-2.42831558486034E-2</v>
      </c>
      <c r="E431">
        <v>0.97204930777821097</v>
      </c>
      <c r="F431" s="3">
        <v>-0.34271100133207899</v>
      </c>
      <c r="G431" t="str">
        <f t="shared" si="40"/>
        <v>sell</v>
      </c>
      <c r="H431">
        <f t="shared" si="41"/>
        <v>1</v>
      </c>
      <c r="I431" t="str">
        <f t="shared" si="42"/>
        <v>keep</v>
      </c>
      <c r="J431">
        <f t="shared" si="38"/>
        <v>0</v>
      </c>
      <c r="K431">
        <f t="shared" si="39"/>
        <v>0</v>
      </c>
      <c r="L431">
        <f t="shared" si="43"/>
        <v>0</v>
      </c>
      <c r="M431">
        <f>IF(I431="sell",N430+(N430*E431/100),IF(I431="buy",0,M430))</f>
        <v>1640.0406418238947</v>
      </c>
      <c r="N431">
        <f>IF(I431="buy",M430,IF(I431="sell",0,IF(AND(I431="keep",N430&lt;&gt;0),N430+(N430*E430/100),N430)))</f>
        <v>0</v>
      </c>
      <c r="O431">
        <f>O430+(O430*E431/100)</f>
        <v>1811.4461960497526</v>
      </c>
    </row>
    <row r="432" spans="1:15" x14ac:dyDescent="0.25">
      <c r="A432" s="1">
        <v>45714</v>
      </c>
      <c r="B432">
        <v>0.42348248676622402</v>
      </c>
      <c r="C432">
        <v>0.2165759967516</v>
      </c>
      <c r="D432">
        <v>-2.7040181371491698</v>
      </c>
      <c r="E432">
        <v>-0.64981866789770504</v>
      </c>
      <c r="F432" s="3">
        <v>-7.5428557507091695E-2</v>
      </c>
      <c r="G432" t="str">
        <f t="shared" si="40"/>
        <v>keep</v>
      </c>
      <c r="H432">
        <f t="shared" si="41"/>
        <v>1</v>
      </c>
      <c r="I432" t="str">
        <f t="shared" si="42"/>
        <v>keep</v>
      </c>
      <c r="J432">
        <f t="shared" si="38"/>
        <v>0</v>
      </c>
      <c r="K432">
        <f t="shared" si="39"/>
        <v>0</v>
      </c>
      <c r="L432">
        <f t="shared" si="43"/>
        <v>0</v>
      </c>
      <c r="M432">
        <f>IF(I432="sell",N431+(N431*E432/100),IF(I432="buy",0,M431))</f>
        <v>1640.0406418238947</v>
      </c>
      <c r="N432">
        <f>IF(I432="buy",M431,IF(I432="sell",0,IF(AND(I432="keep",N431&lt;&gt;0),N431+(N431*E431/100),N431)))</f>
        <v>0</v>
      </c>
      <c r="O432">
        <f>O431+(O431*E432/100)</f>
        <v>1799.6750805088984</v>
      </c>
    </row>
    <row r="433" spans="1:15" x14ac:dyDescent="0.25">
      <c r="A433" s="1">
        <v>45715</v>
      </c>
      <c r="B433">
        <v>-1.1519506683274101</v>
      </c>
      <c r="C433">
        <v>-2.7538584600540301</v>
      </c>
      <c r="D433">
        <v>-1.273085649752</v>
      </c>
      <c r="E433">
        <v>-0.31491920789268302</v>
      </c>
      <c r="F433" s="3">
        <v>-0.58093546296585896</v>
      </c>
      <c r="G433" t="str">
        <f t="shared" si="40"/>
        <v>sell</v>
      </c>
      <c r="H433">
        <f t="shared" si="41"/>
        <v>1</v>
      </c>
      <c r="I433" t="str">
        <f t="shared" si="42"/>
        <v>keep</v>
      </c>
      <c r="J433">
        <f t="shared" si="38"/>
        <v>0</v>
      </c>
      <c r="K433">
        <f t="shared" si="39"/>
        <v>0</v>
      </c>
      <c r="L433">
        <f t="shared" si="43"/>
        <v>0</v>
      </c>
      <c r="M433">
        <f>IF(I433="sell",N432+(N432*E433/100),IF(I433="buy",0,M432))</f>
        <v>1640.0406418238947</v>
      </c>
      <c r="N433">
        <f>IF(I433="buy",M432,IF(I433="sell",0,IF(AND(I433="keep",N432&lt;&gt;0),N432+(N432*E432/100),N432)))</f>
        <v>0</v>
      </c>
      <c r="O433">
        <f>O432+(O432*E433/100)</f>
        <v>1794.0075580007178</v>
      </c>
    </row>
    <row r="434" spans="1:15" x14ac:dyDescent="0.25">
      <c r="A434" s="1">
        <v>45716</v>
      </c>
      <c r="B434">
        <v>-1.6093196146486699</v>
      </c>
      <c r="C434">
        <v>1.6226060117737</v>
      </c>
      <c r="D434">
        <v>1.91318688444415</v>
      </c>
      <c r="E434">
        <v>-0.94776167615746598</v>
      </c>
      <c r="F434" s="3">
        <v>0.15156517431515601</v>
      </c>
      <c r="G434" t="str">
        <f t="shared" si="40"/>
        <v>buy</v>
      </c>
      <c r="H434">
        <f t="shared" si="41"/>
        <v>0</v>
      </c>
      <c r="I434" t="str">
        <f t="shared" si="42"/>
        <v>buy</v>
      </c>
      <c r="J434">
        <f t="shared" si="38"/>
        <v>1</v>
      </c>
      <c r="K434">
        <f t="shared" si="39"/>
        <v>0</v>
      </c>
      <c r="L434">
        <f t="shared" si="43"/>
        <v>0</v>
      </c>
      <c r="M434">
        <f>IF(I434="sell",N433+(N433*E434/100),IF(I434="buy",0,M433))</f>
        <v>0</v>
      </c>
      <c r="N434">
        <f>IF(I434="buy",M433,IF(I434="sell",0,IF(AND(I434="keep",N433&lt;&gt;0),N433+(N433*E433/100),N433)))</f>
        <v>1640.0406418238947</v>
      </c>
      <c r="O434">
        <f>O433+(O433*E434/100)</f>
        <v>1777.0046418986185</v>
      </c>
    </row>
    <row r="435" spans="1:15" x14ac:dyDescent="0.25">
      <c r="A435" s="1">
        <v>45719</v>
      </c>
      <c r="B435">
        <v>1.8823992323959899</v>
      </c>
      <c r="C435">
        <v>-2.1969980224109298</v>
      </c>
      <c r="D435">
        <v>-1.5754265817481099</v>
      </c>
      <c r="E435">
        <v>-0.343466674199222</v>
      </c>
      <c r="F435" s="3">
        <v>0.10050165700718899</v>
      </c>
      <c r="G435" t="str">
        <f t="shared" si="40"/>
        <v>keep</v>
      </c>
      <c r="H435">
        <f t="shared" si="41"/>
        <v>1</v>
      </c>
      <c r="I435" t="str">
        <f t="shared" si="42"/>
        <v>keep</v>
      </c>
      <c r="J435">
        <f t="shared" si="38"/>
        <v>0</v>
      </c>
      <c r="K435">
        <f t="shared" si="39"/>
        <v>0</v>
      </c>
      <c r="L435">
        <f t="shared" si="43"/>
        <v>0</v>
      </c>
      <c r="M435">
        <f>IF(I435="sell",N434+(N434*E435/100),IF(I435="buy",0,M434))</f>
        <v>0</v>
      </c>
      <c r="N435">
        <f>IF(I435="buy",M434,IF(I435="sell",0,IF(AND(I435="keep",N434&lt;&gt;0),N434+(N434*E434/100),N434)))</f>
        <v>1624.4969651472809</v>
      </c>
      <c r="O435">
        <f>O434+(O434*E435/100)</f>
        <v>1770.9012231547235</v>
      </c>
    </row>
    <row r="436" spans="1:15" x14ac:dyDescent="0.25">
      <c r="A436" s="1">
        <v>45720</v>
      </c>
      <c r="B436">
        <v>0.67123890430171795</v>
      </c>
      <c r="C436">
        <v>-0.35764360654919602</v>
      </c>
      <c r="D436">
        <v>-0.88223799096021005</v>
      </c>
      <c r="E436">
        <v>0.320036060401163</v>
      </c>
      <c r="F436" s="3">
        <v>0.11638101529449101</v>
      </c>
      <c r="G436" t="str">
        <f t="shared" si="40"/>
        <v>keep</v>
      </c>
      <c r="H436">
        <f t="shared" si="41"/>
        <v>0</v>
      </c>
      <c r="I436" t="str">
        <f t="shared" si="42"/>
        <v>keep</v>
      </c>
      <c r="J436">
        <f t="shared" si="38"/>
        <v>0</v>
      </c>
      <c r="K436">
        <f t="shared" si="39"/>
        <v>0</v>
      </c>
      <c r="L436">
        <f t="shared" si="43"/>
        <v>0</v>
      </c>
      <c r="M436">
        <f>IF(I436="sell",N435+(N435*E436/100),IF(I436="buy",0,M435))</f>
        <v>0</v>
      </c>
      <c r="N436">
        <f>IF(I436="buy",M435,IF(I436="sell",0,IF(AND(I436="keep",N435&lt;&gt;0),N435+(N435*E435/100),N435)))</f>
        <v>1618.9173594486222</v>
      </c>
      <c r="O436">
        <f>O435+(O435*E436/100)</f>
        <v>1776.5687456629039</v>
      </c>
    </row>
    <row r="437" spans="1:15" x14ac:dyDescent="0.25">
      <c r="A437" s="1">
        <v>45721</v>
      </c>
      <c r="B437">
        <v>0.19590153218878001</v>
      </c>
      <c r="C437">
        <v>1.3557609307427401</v>
      </c>
      <c r="D437">
        <v>-8.0529729740952405E-2</v>
      </c>
      <c r="E437">
        <v>-2.6503132269518002</v>
      </c>
      <c r="F437" s="3">
        <v>0.27983964958499902</v>
      </c>
      <c r="G437" t="str">
        <f t="shared" si="40"/>
        <v>buy</v>
      </c>
      <c r="H437">
        <f t="shared" si="41"/>
        <v>0</v>
      </c>
      <c r="I437" t="str">
        <f t="shared" si="42"/>
        <v>keep</v>
      </c>
      <c r="J437">
        <f t="shared" si="38"/>
        <v>0</v>
      </c>
      <c r="K437">
        <f t="shared" si="39"/>
        <v>0</v>
      </c>
      <c r="L437">
        <f t="shared" si="43"/>
        <v>0</v>
      </c>
      <c r="M437">
        <f>IF(I437="sell",N436+(N436*E437/100),IF(I437="buy",0,M436))</f>
        <v>0</v>
      </c>
      <c r="N437">
        <f>IF(I437="buy",M436,IF(I437="sell",0,IF(AND(I437="keep",N436&lt;&gt;0),N436+(N436*E436/100),N436)))</f>
        <v>1624.098478786952</v>
      </c>
      <c r="O437">
        <f>O436+(O436*E437/100)</f>
        <v>1729.4841092107083</v>
      </c>
    </row>
    <row r="438" spans="1:15" x14ac:dyDescent="0.25">
      <c r="A438" s="1">
        <v>45722</v>
      </c>
      <c r="B438">
        <v>4.4593997405084601E-2</v>
      </c>
      <c r="C438">
        <v>-2.7914349978393802</v>
      </c>
      <c r="D438">
        <v>-0.17391917687868899</v>
      </c>
      <c r="E438">
        <v>-4.3357541170370704</v>
      </c>
      <c r="F438" s="3">
        <v>-0.181317911872004</v>
      </c>
      <c r="G438" t="str">
        <f t="shared" si="40"/>
        <v>sell</v>
      </c>
      <c r="H438">
        <f t="shared" si="41"/>
        <v>1</v>
      </c>
      <c r="I438" t="str">
        <f t="shared" si="42"/>
        <v>sell</v>
      </c>
      <c r="J438">
        <f t="shared" si="38"/>
        <v>0</v>
      </c>
      <c r="K438">
        <f t="shared" si="39"/>
        <v>1</v>
      </c>
      <c r="L438">
        <f t="shared" si="43"/>
        <v>1</v>
      </c>
      <c r="M438">
        <f>IF(I438="sell",N437+(N437*E438/100),IF(I438="buy",0,M437))</f>
        <v>1553.6815621282103</v>
      </c>
      <c r="N438">
        <f>IF(I438="buy",M437,IF(I438="sell",0,IF(AND(I438="keep",N437&lt;&gt;0),N437+(N437*E437/100),N437)))</f>
        <v>0</v>
      </c>
      <c r="O438">
        <f>O437+(O437*E438/100)</f>
        <v>1654.4979307421031</v>
      </c>
    </row>
    <row r="439" spans="1:15" x14ac:dyDescent="0.25">
      <c r="A439" s="1">
        <v>45723</v>
      </c>
      <c r="B439">
        <v>-0.40801433470216603</v>
      </c>
      <c r="C439">
        <v>0.74173948691855696</v>
      </c>
      <c r="D439">
        <v>1.58926180295431</v>
      </c>
      <c r="E439">
        <v>-0.92227269059441597</v>
      </c>
      <c r="F439" s="3">
        <v>0.26388256468214699</v>
      </c>
      <c r="G439" t="str">
        <f t="shared" si="40"/>
        <v>buy</v>
      </c>
      <c r="H439">
        <f t="shared" si="41"/>
        <v>0</v>
      </c>
      <c r="I439" t="str">
        <f t="shared" si="42"/>
        <v>buy</v>
      </c>
      <c r="J439">
        <f t="shared" si="38"/>
        <v>1</v>
      </c>
      <c r="K439">
        <f t="shared" si="39"/>
        <v>0</v>
      </c>
      <c r="L439">
        <f t="shared" si="43"/>
        <v>0</v>
      </c>
      <c r="M439">
        <f>IF(I439="sell",N438+(N438*E439/100),IF(I439="buy",0,M438))</f>
        <v>0</v>
      </c>
      <c r="N439">
        <f>IF(I439="buy",M438,IF(I439="sell",0,IF(AND(I439="keep",N438&lt;&gt;0),N438+(N438*E438/100),N438)))</f>
        <v>1553.6815621282103</v>
      </c>
      <c r="O439">
        <f>O438+(O438*E439/100)</f>
        <v>1639.2389481604189</v>
      </c>
    </row>
    <row r="440" spans="1:15" x14ac:dyDescent="0.25">
      <c r="A440" s="1">
        <v>45726</v>
      </c>
      <c r="B440">
        <v>-0.47164772273114902</v>
      </c>
      <c r="C440">
        <v>-3.8137015194959298</v>
      </c>
      <c r="D440">
        <v>-4.8479601934098904</v>
      </c>
      <c r="E440">
        <v>-0.87765371539293402</v>
      </c>
      <c r="F440" s="3">
        <v>-0.96396143958642799</v>
      </c>
      <c r="G440" t="str">
        <f t="shared" si="40"/>
        <v>sell</v>
      </c>
      <c r="H440">
        <f t="shared" si="41"/>
        <v>0</v>
      </c>
      <c r="I440" t="str">
        <f t="shared" si="42"/>
        <v>sell</v>
      </c>
      <c r="J440">
        <f t="shared" si="38"/>
        <v>0</v>
      </c>
      <c r="K440">
        <f t="shared" si="39"/>
        <v>1</v>
      </c>
      <c r="L440">
        <f t="shared" si="43"/>
        <v>0</v>
      </c>
      <c r="M440">
        <f>IF(I440="sell",N439+(N439*E440/100),IF(I440="buy",0,M439))</f>
        <v>1540.0456181728171</v>
      </c>
      <c r="N440">
        <f>IF(I440="buy",M439,IF(I440="sell",0,IF(AND(I440="keep",N439&lt;&gt;0),N439+(N439*E439/100),N439)))</f>
        <v>0</v>
      </c>
      <c r="O440">
        <f>O439+(O439*E440/100)</f>
        <v>1624.852106627721</v>
      </c>
    </row>
    <row r="441" spans="1:15" x14ac:dyDescent="0.25">
      <c r="A441" s="1">
        <v>45727</v>
      </c>
      <c r="B441">
        <v>0.75751997038222496</v>
      </c>
      <c r="C441">
        <v>-0.27784685473781701</v>
      </c>
      <c r="D441">
        <v>-2.9189307576519101</v>
      </c>
      <c r="E441">
        <v>0.42929356312799699</v>
      </c>
      <c r="F441" s="3">
        <v>-0.102475841983795</v>
      </c>
      <c r="G441" t="str">
        <f t="shared" si="40"/>
        <v>keep</v>
      </c>
      <c r="H441">
        <f t="shared" si="41"/>
        <v>0</v>
      </c>
      <c r="I441" t="str">
        <f t="shared" si="42"/>
        <v>keep</v>
      </c>
      <c r="J441">
        <f t="shared" si="38"/>
        <v>0</v>
      </c>
      <c r="K441">
        <f t="shared" si="39"/>
        <v>0</v>
      </c>
      <c r="L441">
        <f t="shared" si="43"/>
        <v>0</v>
      </c>
      <c r="M441">
        <f>IF(I441="sell",N440+(N440*E441/100),IF(I441="buy",0,M440))</f>
        <v>1540.0456181728171</v>
      </c>
      <c r="N441">
        <f>IF(I441="buy",M440,IF(I441="sell",0,IF(AND(I441="keep",N440&lt;&gt;0),N440+(N440*E440/100),N440)))</f>
        <v>0</v>
      </c>
      <c r="O441">
        <f>O440+(O440*E441/100)</f>
        <v>1631.8274921318234</v>
      </c>
    </row>
    <row r="442" spans="1:15" x14ac:dyDescent="0.25">
      <c r="A442" s="1">
        <v>45728</v>
      </c>
      <c r="B442">
        <v>0.89945402145192799</v>
      </c>
      <c r="C442">
        <v>1.13051058138873</v>
      </c>
      <c r="D442">
        <v>-1.7478794721086099</v>
      </c>
      <c r="E442">
        <v>1.9770196458744</v>
      </c>
      <c r="F442" s="3">
        <v>0.22154931270290201</v>
      </c>
      <c r="G442" t="str">
        <f t="shared" si="40"/>
        <v>buy</v>
      </c>
      <c r="H442">
        <f t="shared" si="41"/>
        <v>1</v>
      </c>
      <c r="I442" t="str">
        <f t="shared" si="42"/>
        <v>buy</v>
      </c>
      <c r="J442">
        <f t="shared" si="38"/>
        <v>1</v>
      </c>
      <c r="K442">
        <f t="shared" si="39"/>
        <v>0</v>
      </c>
      <c r="L442">
        <f t="shared" si="43"/>
        <v>1</v>
      </c>
      <c r="M442">
        <f>IF(I442="sell",N441+(N441*E442/100),IF(I442="buy",0,M441))</f>
        <v>0</v>
      </c>
      <c r="N442">
        <f>IF(I442="buy",M441,IF(I442="sell",0,IF(AND(I442="keep",N441&lt;&gt;0),N441+(N441*E441/100),N441)))</f>
        <v>1540.0456181728171</v>
      </c>
      <c r="O442">
        <f>O441+(O441*E442/100)</f>
        <v>1664.0890422380492</v>
      </c>
    </row>
    <row r="443" spans="1:15" x14ac:dyDescent="0.25">
      <c r="A443" s="1">
        <v>45729</v>
      </c>
      <c r="B443">
        <v>1.5378840349098399</v>
      </c>
      <c r="C443">
        <v>-1.8908894324640599</v>
      </c>
      <c r="D443">
        <v>-3.3643624218424799</v>
      </c>
      <c r="E443">
        <v>0.15719713394088899</v>
      </c>
      <c r="F443" s="3">
        <v>-0.101883832015151</v>
      </c>
      <c r="G443" t="str">
        <f t="shared" si="40"/>
        <v>keep</v>
      </c>
      <c r="H443">
        <f t="shared" si="41"/>
        <v>1</v>
      </c>
      <c r="I443" t="str">
        <f t="shared" si="42"/>
        <v>keep</v>
      </c>
      <c r="J443">
        <f t="shared" si="38"/>
        <v>0</v>
      </c>
      <c r="K443">
        <f t="shared" si="39"/>
        <v>0</v>
      </c>
      <c r="L443">
        <f t="shared" si="43"/>
        <v>0</v>
      </c>
      <c r="M443">
        <f>IF(I443="sell",N442+(N442*E443/100),IF(I443="buy",0,M442))</f>
        <v>0</v>
      </c>
      <c r="N443">
        <f>IF(I443="buy",M442,IF(I443="sell",0,IF(AND(I443="keep",N442&lt;&gt;0),N442+(N442*E442/100),N442)))</f>
        <v>1570.4926225995216</v>
      </c>
      <c r="O443">
        <f>O442+(O442*E443/100)</f>
        <v>1666.7049425186717</v>
      </c>
    </row>
    <row r="444" spans="1:15" x14ac:dyDescent="0.25">
      <c r="A444" s="1">
        <v>45730</v>
      </c>
      <c r="B444">
        <v>0.34178705240714902</v>
      </c>
      <c r="C444">
        <v>2.4923182389581902</v>
      </c>
      <c r="D444">
        <v>1.81706008846158</v>
      </c>
      <c r="E444">
        <v>-0.99398790721594299</v>
      </c>
      <c r="F444" s="3">
        <v>0.603736122179241</v>
      </c>
      <c r="G444" t="str">
        <f t="shared" si="40"/>
        <v>buy</v>
      </c>
      <c r="H444">
        <f t="shared" si="41"/>
        <v>1</v>
      </c>
      <c r="I444" t="str">
        <f t="shared" si="42"/>
        <v>keep</v>
      </c>
      <c r="J444">
        <f t="shared" si="38"/>
        <v>0</v>
      </c>
      <c r="K444">
        <f t="shared" si="39"/>
        <v>0</v>
      </c>
      <c r="L444">
        <f t="shared" si="43"/>
        <v>0</v>
      </c>
      <c r="M444">
        <f>IF(I444="sell",N443+(N443*E444/100),IF(I444="buy",0,M443))</f>
        <v>0</v>
      </c>
      <c r="N444">
        <f>IF(I444="buy",M443,IF(I444="sell",0,IF(AND(I444="keep",N443&lt;&gt;0),N443+(N443*E443/100),N443)))</f>
        <v>1572.9613919910012</v>
      </c>
      <c r="O444">
        <f>O443+(O443*E444/100)</f>
        <v>1650.1380969410657</v>
      </c>
    </row>
    <row r="445" spans="1:15" x14ac:dyDescent="0.25">
      <c r="A445" s="1">
        <v>45733</v>
      </c>
      <c r="B445">
        <v>0.18367006177992801</v>
      </c>
      <c r="C445">
        <v>0.54606227752504999</v>
      </c>
      <c r="D445">
        <v>0.23888377184630899</v>
      </c>
      <c r="E445">
        <v>0.84544107689199499</v>
      </c>
      <c r="F445" s="3">
        <v>0.21154486028410399</v>
      </c>
      <c r="G445" t="str">
        <f t="shared" si="40"/>
        <v>buy</v>
      </c>
      <c r="H445">
        <f t="shared" si="41"/>
        <v>0</v>
      </c>
      <c r="I445" t="str">
        <f t="shared" si="42"/>
        <v>keep</v>
      </c>
      <c r="J445">
        <f t="shared" si="38"/>
        <v>0</v>
      </c>
      <c r="K445">
        <f t="shared" si="39"/>
        <v>0</v>
      </c>
      <c r="L445">
        <f t="shared" si="43"/>
        <v>0</v>
      </c>
      <c r="M445">
        <f>IF(I445="sell",N444+(N444*E445/100),IF(I445="buy",0,M444))</f>
        <v>0</v>
      </c>
      <c r="N445">
        <f>IF(I445="buy",M444,IF(I445="sell",0,IF(AND(I445="keep",N444&lt;&gt;0),N444+(N444*E444/100),N444)))</f>
        <v>1557.3263459694351</v>
      </c>
      <c r="O445">
        <f>O444+(O444*E445/100)</f>
        <v>1664.0890422380494</v>
      </c>
    </row>
    <row r="446" spans="1:15" x14ac:dyDescent="0.25">
      <c r="A446" s="1">
        <v>45734</v>
      </c>
      <c r="B446">
        <v>1.1700032552083199</v>
      </c>
      <c r="C446">
        <v>-1.65998824708565</v>
      </c>
      <c r="D446">
        <v>-0.61215247146901797</v>
      </c>
      <c r="E446">
        <v>-0.34057807991801903</v>
      </c>
      <c r="F446" s="3">
        <v>0.111186533740984</v>
      </c>
      <c r="G446" t="str">
        <f t="shared" si="40"/>
        <v>keep</v>
      </c>
      <c r="H446">
        <f t="shared" si="41"/>
        <v>0</v>
      </c>
      <c r="I446" t="str">
        <f t="shared" si="42"/>
        <v>keep</v>
      </c>
      <c r="J446">
        <f t="shared" si="38"/>
        <v>0</v>
      </c>
      <c r="K446">
        <f t="shared" si="39"/>
        <v>0</v>
      </c>
      <c r="L446">
        <f t="shared" si="43"/>
        <v>0</v>
      </c>
      <c r="M446">
        <f>IF(I446="sell",N445+(N445*E446/100),IF(I446="buy",0,M445))</f>
        <v>0</v>
      </c>
      <c r="N446">
        <f>IF(I446="buy",M445,IF(I446="sell",0,IF(AND(I446="keep",N445&lt;&gt;0),N445+(N445*E445/100),N445)))</f>
        <v>1570.4926225995218</v>
      </c>
      <c r="O446">
        <f>O445+(O445*E446/100)</f>
        <v>1658.4215197298688</v>
      </c>
    </row>
    <row r="447" spans="1:15" x14ac:dyDescent="0.25">
      <c r="A447" s="1">
        <v>45735</v>
      </c>
      <c r="B447">
        <v>2.63518388773364E-2</v>
      </c>
      <c r="C447">
        <v>1.3000878153231801</v>
      </c>
      <c r="D447">
        <v>1.1989259503216001</v>
      </c>
      <c r="E447">
        <v>-7.8872425926657094E-2</v>
      </c>
      <c r="F447" s="3">
        <v>0.35341929556488</v>
      </c>
      <c r="G447" t="str">
        <f t="shared" si="40"/>
        <v>buy</v>
      </c>
      <c r="H447">
        <f t="shared" si="41"/>
        <v>1</v>
      </c>
      <c r="I447" t="str">
        <f t="shared" si="42"/>
        <v>keep</v>
      </c>
      <c r="J447">
        <f t="shared" si="38"/>
        <v>0</v>
      </c>
      <c r="K447">
        <f t="shared" si="39"/>
        <v>0</v>
      </c>
      <c r="L447">
        <f t="shared" si="43"/>
        <v>0</v>
      </c>
      <c r="M447">
        <f>IF(I447="sell",N446+(N446*E447/100),IF(I447="buy",0,M446))</f>
        <v>0</v>
      </c>
      <c r="N447">
        <f>IF(I447="buy",M446,IF(I447="sell",0,IF(AND(I447="keep",N446&lt;&gt;0),N446+(N446*E446/100),N446)))</f>
        <v>1565.1438689802183</v>
      </c>
      <c r="O447">
        <f>O446+(O446*E447/100)</f>
        <v>1657.1134824451681</v>
      </c>
    </row>
    <row r="448" spans="1:15" x14ac:dyDescent="0.25">
      <c r="A448" s="1">
        <v>45736</v>
      </c>
      <c r="B448">
        <v>0.13505378267197801</v>
      </c>
      <c r="C448">
        <v>-0.29919338318900002</v>
      </c>
      <c r="D448">
        <v>-0.52963113899611103</v>
      </c>
      <c r="E448">
        <v>0.89450192845688103</v>
      </c>
      <c r="F448" s="3">
        <v>3.4323131518887599E-2</v>
      </c>
      <c r="G448" t="str">
        <f t="shared" si="40"/>
        <v>keep</v>
      </c>
      <c r="H448">
        <f t="shared" si="41"/>
        <v>1</v>
      </c>
      <c r="I448" t="str">
        <f t="shared" si="42"/>
        <v>keep</v>
      </c>
      <c r="J448">
        <f t="shared" ref="J448:J511" si="44">IF(I448="buy",1,0)</f>
        <v>0</v>
      </c>
      <c r="K448">
        <f t="shared" ref="K448:K511" si="45">IF(I448="sell",1,0)</f>
        <v>0</v>
      </c>
      <c r="L448">
        <f t="shared" si="43"/>
        <v>0</v>
      </c>
      <c r="M448">
        <f>IF(I448="sell",N447+(N447*E448/100),IF(I448="buy",0,M447))</f>
        <v>0</v>
      </c>
      <c r="N448">
        <f>IF(I448="buy",M447,IF(I448="sell",0,IF(AND(I448="keep",N447&lt;&gt;0),N447+(N447*E447/100),N447)))</f>
        <v>1563.9094020415112</v>
      </c>
      <c r="O448">
        <f>O447+(O447*E448/100)</f>
        <v>1671.936394502359</v>
      </c>
    </row>
    <row r="449" spans="1:15" x14ac:dyDescent="0.25">
      <c r="A449" s="1">
        <v>45737</v>
      </c>
      <c r="B449">
        <v>-0.71710686934621704</v>
      </c>
      <c r="C449">
        <v>0.38806201845848998</v>
      </c>
      <c r="D449">
        <v>1.9476821228993499</v>
      </c>
      <c r="E449">
        <v>0.23468376485171699</v>
      </c>
      <c r="F449" s="3">
        <v>0.185291923677468</v>
      </c>
      <c r="G449" t="str">
        <f t="shared" si="40"/>
        <v>buy</v>
      </c>
      <c r="H449">
        <f t="shared" si="41"/>
        <v>0</v>
      </c>
      <c r="I449" t="str">
        <f t="shared" si="42"/>
        <v>keep</v>
      </c>
      <c r="J449">
        <f t="shared" si="44"/>
        <v>0</v>
      </c>
      <c r="K449">
        <f t="shared" si="45"/>
        <v>0</v>
      </c>
      <c r="L449">
        <f t="shared" si="43"/>
        <v>0</v>
      </c>
      <c r="M449">
        <f>IF(I449="sell",N448+(N448*E449/100),IF(I449="buy",0,M448))</f>
        <v>0</v>
      </c>
      <c r="N449">
        <f>IF(I449="buy",M448,IF(I449="sell",0,IF(AND(I449="keep",N448&lt;&gt;0),N448+(N448*E448/100),N448)))</f>
        <v>1577.898601802091</v>
      </c>
      <c r="O449">
        <f>O448+(O448*E449/100)</f>
        <v>1675.8601577789032</v>
      </c>
    </row>
    <row r="450" spans="1:15" x14ac:dyDescent="0.25">
      <c r="A450" s="1">
        <v>45740</v>
      </c>
      <c r="B450">
        <v>-0.16897003505831301</v>
      </c>
      <c r="C450">
        <v>2.1589508359326</v>
      </c>
      <c r="D450">
        <v>1.1270434233937801</v>
      </c>
      <c r="E450">
        <v>-0.62434077256308096</v>
      </c>
      <c r="F450" s="3">
        <v>0.39159898630624701</v>
      </c>
      <c r="G450" t="str">
        <f t="shared" si="40"/>
        <v>buy</v>
      </c>
      <c r="H450">
        <f t="shared" si="41"/>
        <v>1</v>
      </c>
      <c r="I450" t="str">
        <f t="shared" si="42"/>
        <v>keep</v>
      </c>
      <c r="J450">
        <f t="shared" si="44"/>
        <v>0</v>
      </c>
      <c r="K450">
        <f t="shared" si="45"/>
        <v>0</v>
      </c>
      <c r="L450">
        <f t="shared" si="43"/>
        <v>0</v>
      </c>
      <c r="M450">
        <f>IF(I450="sell",N449+(N449*E450/100),IF(I450="buy",0,M449))</f>
        <v>0</v>
      </c>
      <c r="N450">
        <f>IF(I450="buy",M449,IF(I450="sell",0,IF(AND(I450="keep",N449&lt;&gt;0),N449+(N449*E449/100),N449)))</f>
        <v>1581.6016736463428</v>
      </c>
      <c r="O450">
        <f>O449+(O449*E450/100)</f>
        <v>1665.3970795227494</v>
      </c>
    </row>
    <row r="451" spans="1:15" x14ac:dyDescent="0.25">
      <c r="A451" s="1">
        <v>45741</v>
      </c>
      <c r="B451">
        <v>0.351792279448992</v>
      </c>
      <c r="C451">
        <v>0.53210341460203603</v>
      </c>
      <c r="D451">
        <v>1.36819264418792</v>
      </c>
      <c r="E451">
        <v>0.26177898147317002</v>
      </c>
      <c r="F451" s="3">
        <v>0.361741786867253</v>
      </c>
      <c r="G451" t="str">
        <f t="shared" ref="G451:G514" si="46">IF(F451&gt;$R$2,"buy",IF(F451&lt;-$R$3,"sell","keep"))</f>
        <v>buy</v>
      </c>
      <c r="H451">
        <f t="shared" ref="H451:H514" si="47">IF(F451&lt;&gt;"",IF(OR(AND(F451&lt;0,E452&lt;0),AND(F451&gt;0,E452&gt;0)),1,0),"")</f>
        <v>1</v>
      </c>
      <c r="I451" t="str">
        <f t="shared" ref="I451:I514" si="48">IF(AND(G451="sell",N450&lt;&gt;0),"sell",IF(AND(G451="buy",M450&lt;&gt;0),"buy","keep"))</f>
        <v>keep</v>
      </c>
      <c r="J451">
        <f t="shared" si="44"/>
        <v>0</v>
      </c>
      <c r="K451">
        <f t="shared" si="45"/>
        <v>0</v>
      </c>
      <c r="L451">
        <f t="shared" ref="L451:L514" si="49">IF(AND(H451=1,OR(J451=1,K451=1)),1,0)</f>
        <v>0</v>
      </c>
      <c r="M451">
        <f>IF(I451="sell",N450+(N450*E451/100),IF(I451="buy",0,M450))</f>
        <v>0</v>
      </c>
      <c r="N451">
        <f>IF(I451="buy",M450,IF(I451="sell",0,IF(AND(I451="keep",N450&lt;&gt;0),N450+(N450*E450/100),N450)))</f>
        <v>1571.7270895382285</v>
      </c>
      <c r="O451">
        <f>O450+(O450*E451/100)</f>
        <v>1669.756739035008</v>
      </c>
    </row>
    <row r="452" spans="1:15" x14ac:dyDescent="0.25">
      <c r="A452" s="1">
        <v>45742</v>
      </c>
      <c r="B452">
        <v>-9.2603395619328399E-2</v>
      </c>
      <c r="C452">
        <v>-1.82789308823052</v>
      </c>
      <c r="D452">
        <v>-0.992191646898132</v>
      </c>
      <c r="E452">
        <v>0.86162346197753403</v>
      </c>
      <c r="F452" s="3">
        <v>-0.21740232506240501</v>
      </c>
      <c r="G452" t="str">
        <f t="shared" si="46"/>
        <v>sell</v>
      </c>
      <c r="H452">
        <f t="shared" si="47"/>
        <v>0</v>
      </c>
      <c r="I452" t="str">
        <f t="shared" si="48"/>
        <v>sell</v>
      </c>
      <c r="J452">
        <f t="shared" si="44"/>
        <v>0</v>
      </c>
      <c r="K452">
        <f t="shared" si="45"/>
        <v>1</v>
      </c>
      <c r="L452">
        <f t="shared" si="49"/>
        <v>0</v>
      </c>
      <c r="M452">
        <f>IF(I452="sell",N451+(N451*E452/100),IF(I452="buy",0,M451))</f>
        <v>1585.2694588999466</v>
      </c>
      <c r="N452">
        <f>IF(I452="buy",M451,IF(I452="sell",0,IF(AND(I452="keep",N451&lt;&gt;0),N451+(N451*E451/100),N451)))</f>
        <v>0</v>
      </c>
      <c r="O452">
        <f>O451+(O451*E452/100)</f>
        <v>1684.1437548564845</v>
      </c>
    </row>
    <row r="453" spans="1:15" x14ac:dyDescent="0.25">
      <c r="A453" s="1">
        <v>45743</v>
      </c>
      <c r="B453">
        <v>1.3009384653107601</v>
      </c>
      <c r="C453">
        <v>-0.594322196060037</v>
      </c>
      <c r="D453">
        <v>1.04726660899279</v>
      </c>
      <c r="E453">
        <v>0.38828722077626199</v>
      </c>
      <c r="F453" s="3">
        <v>0.42332330803416401</v>
      </c>
      <c r="G453" t="str">
        <f t="shared" si="46"/>
        <v>buy</v>
      </c>
      <c r="H453">
        <f t="shared" si="47"/>
        <v>1</v>
      </c>
      <c r="I453" t="str">
        <f t="shared" si="48"/>
        <v>buy</v>
      </c>
      <c r="J453">
        <f t="shared" si="44"/>
        <v>1</v>
      </c>
      <c r="K453">
        <f t="shared" si="45"/>
        <v>0</v>
      </c>
      <c r="L453">
        <f t="shared" si="49"/>
        <v>1</v>
      </c>
      <c r="M453">
        <f>IF(I453="sell",N452+(N452*E453/100),IF(I453="buy",0,M452))</f>
        <v>0</v>
      </c>
      <c r="N453">
        <f>IF(I453="buy",M452,IF(I453="sell",0,IF(AND(I453="keep",N452&lt;&gt;0),N452+(N452*E452/100),N452)))</f>
        <v>1585.2694588999466</v>
      </c>
      <c r="O453">
        <f>O452+(O452*E453/100)</f>
        <v>1690.6830698360936</v>
      </c>
    </row>
    <row r="454" spans="1:15" x14ac:dyDescent="0.25">
      <c r="A454" s="1">
        <v>45744</v>
      </c>
      <c r="B454">
        <v>0.85942256217779101</v>
      </c>
      <c r="C454">
        <v>-2.6123980987073598</v>
      </c>
      <c r="D454">
        <v>-2.6580276834051699</v>
      </c>
      <c r="E454">
        <v>0.56730240905853402</v>
      </c>
      <c r="F454" s="3">
        <v>-0.25904953409873499</v>
      </c>
      <c r="G454" t="str">
        <f t="shared" si="46"/>
        <v>sell</v>
      </c>
      <c r="H454">
        <f t="shared" si="47"/>
        <v>1</v>
      </c>
      <c r="I454" t="str">
        <f t="shared" si="48"/>
        <v>sell</v>
      </c>
      <c r="J454">
        <f t="shared" si="44"/>
        <v>0</v>
      </c>
      <c r="K454">
        <f t="shared" si="45"/>
        <v>1</v>
      </c>
      <c r="L454">
        <f t="shared" si="49"/>
        <v>1</v>
      </c>
      <c r="M454">
        <f>IF(I454="sell",N453+(N453*E454/100),IF(I454="buy",0,M453))</f>
        <v>1594.2627307303551</v>
      </c>
      <c r="N454">
        <f>IF(I454="buy",M453,IF(I454="sell",0,IF(AND(I454="keep",N453&lt;&gt;0),N453+(N453*E453/100),N453)))</f>
        <v>0</v>
      </c>
      <c r="O454">
        <f>O453+(O453*E454/100)</f>
        <v>1700.2743556208186</v>
      </c>
    </row>
    <row r="455" spans="1:15" x14ac:dyDescent="0.25">
      <c r="A455" s="1">
        <v>45747</v>
      </c>
      <c r="B455">
        <v>1.17609100366515</v>
      </c>
      <c r="C455">
        <v>-1.5305796338505E-2</v>
      </c>
      <c r="D455">
        <v>1.94126055422045</v>
      </c>
      <c r="E455">
        <v>-0.128194338763332</v>
      </c>
      <c r="F455" s="3">
        <v>0.54975470526598302</v>
      </c>
      <c r="G455" t="str">
        <f t="shared" si="46"/>
        <v>buy</v>
      </c>
      <c r="H455">
        <f t="shared" si="47"/>
        <v>1</v>
      </c>
      <c r="I455" t="str">
        <f t="shared" si="48"/>
        <v>buy</v>
      </c>
      <c r="J455">
        <f t="shared" si="44"/>
        <v>1</v>
      </c>
      <c r="K455">
        <f t="shared" si="45"/>
        <v>0</v>
      </c>
      <c r="L455">
        <f t="shared" si="49"/>
        <v>1</v>
      </c>
      <c r="M455">
        <f>IF(I455="sell",N454+(N454*E455/100),IF(I455="buy",0,M454))</f>
        <v>0</v>
      </c>
      <c r="N455">
        <f>IF(I455="buy",M454,IF(I455="sell",0,IF(AND(I455="keep",N454&lt;&gt;0),N454+(N454*E454/100),N454)))</f>
        <v>1594.2627307303551</v>
      </c>
      <c r="O455">
        <f>O454+(O454*E455/100)</f>
        <v>1698.094700153468</v>
      </c>
    </row>
    <row r="456" spans="1:15" x14ac:dyDescent="0.25">
      <c r="A456" s="1">
        <v>45748</v>
      </c>
      <c r="B456">
        <v>-0.12489260994595899</v>
      </c>
      <c r="C456">
        <v>0.81941602943540404</v>
      </c>
      <c r="D456">
        <v>0.47719511752974902</v>
      </c>
      <c r="E456">
        <v>0.410777178885957</v>
      </c>
      <c r="F456" s="3">
        <v>0.19708682016250101</v>
      </c>
      <c r="G456" t="str">
        <f t="shared" si="46"/>
        <v>buy</v>
      </c>
      <c r="H456">
        <f t="shared" si="47"/>
        <v>0</v>
      </c>
      <c r="I456" t="str">
        <f t="shared" si="48"/>
        <v>keep</v>
      </c>
      <c r="J456">
        <f t="shared" si="44"/>
        <v>0</v>
      </c>
      <c r="K456">
        <f t="shared" si="45"/>
        <v>0</v>
      </c>
      <c r="L456">
        <f t="shared" si="49"/>
        <v>0</v>
      </c>
      <c r="M456">
        <f>IF(I456="sell",N455+(N455*E456/100),IF(I456="buy",0,M455))</f>
        <v>0</v>
      </c>
      <c r="N456">
        <f>IF(I456="buy",M455,IF(I456="sell",0,IF(AND(I456="keep",N455&lt;&gt;0),N455+(N455*E455/100),N455)))</f>
        <v>1592.218976164545</v>
      </c>
      <c r="O456">
        <f>O455+(O455*E456/100)</f>
        <v>1705.0700856575704</v>
      </c>
    </row>
    <row r="457" spans="1:15" x14ac:dyDescent="0.25">
      <c r="A457" s="1">
        <v>45749</v>
      </c>
      <c r="B457">
        <v>0.67331433061443802</v>
      </c>
      <c r="C457">
        <v>0.74787113873993005</v>
      </c>
      <c r="D457">
        <v>0.31363506116051099</v>
      </c>
      <c r="E457">
        <v>-0.230123284054395</v>
      </c>
      <c r="F457" s="3">
        <v>0.34363455807770299</v>
      </c>
      <c r="G457" t="str">
        <f t="shared" si="46"/>
        <v>buy</v>
      </c>
      <c r="H457">
        <f t="shared" si="47"/>
        <v>0</v>
      </c>
      <c r="I457" t="str">
        <f t="shared" si="48"/>
        <v>keep</v>
      </c>
      <c r="J457">
        <f t="shared" si="44"/>
        <v>0</v>
      </c>
      <c r="K457">
        <f t="shared" si="45"/>
        <v>0</v>
      </c>
      <c r="L457">
        <f t="shared" si="49"/>
        <v>0</v>
      </c>
      <c r="M457">
        <f>IF(I457="sell",N456+(N456*E457/100),IF(I457="buy",0,M456))</f>
        <v>0</v>
      </c>
      <c r="N457">
        <f>IF(I457="buy",M456,IF(I457="sell",0,IF(AND(I457="keep",N456&lt;&gt;0),N456+(N456*E456/100),N456)))</f>
        <v>1598.7594483565206</v>
      </c>
      <c r="O457">
        <f>O456+(O456*E457/100)</f>
        <v>1701.146322381026</v>
      </c>
    </row>
    <row r="458" spans="1:15" x14ac:dyDescent="0.25">
      <c r="A458" s="1">
        <v>45750</v>
      </c>
      <c r="B458">
        <v>-1.3662824828182401</v>
      </c>
      <c r="C458">
        <v>-5.4147714447951696</v>
      </c>
      <c r="D458">
        <v>-9.24561091092216</v>
      </c>
      <c r="E458">
        <v>-4.3823659106128101</v>
      </c>
      <c r="F458" s="3">
        <v>-1.6828170988634801</v>
      </c>
      <c r="G458" t="str">
        <f t="shared" si="46"/>
        <v>sell</v>
      </c>
      <c r="H458">
        <f t="shared" si="47"/>
        <v>1</v>
      </c>
      <c r="I458" t="str">
        <f t="shared" si="48"/>
        <v>sell</v>
      </c>
      <c r="J458">
        <f t="shared" si="44"/>
        <v>0</v>
      </c>
      <c r="K458">
        <f t="shared" si="45"/>
        <v>1</v>
      </c>
      <c r="L458">
        <f t="shared" si="49"/>
        <v>1</v>
      </c>
      <c r="M458">
        <f>IF(I458="sell",N457+(N457*E458/100),IF(I458="buy",0,M457))</f>
        <v>1528.6959592990429</v>
      </c>
      <c r="N458">
        <f>IF(I458="buy",M457,IF(I458="sell",0,IF(AND(I458="keep",N457&lt;&gt;0),N457+(N457*E457/100),N457)))</f>
        <v>0</v>
      </c>
      <c r="O458">
        <f>O457+(O457*E458/100)</f>
        <v>1626.5958658593565</v>
      </c>
    </row>
    <row r="459" spans="1:15" x14ac:dyDescent="0.25">
      <c r="A459" s="1">
        <v>45751</v>
      </c>
      <c r="B459">
        <v>-2.7445915402001901</v>
      </c>
      <c r="C459">
        <v>-6.0673987632385602</v>
      </c>
      <c r="D459">
        <v>-7.2887404603161201</v>
      </c>
      <c r="E459">
        <v>-9.2468436196226094</v>
      </c>
      <c r="F459" s="3">
        <v>-2.4948103466378999</v>
      </c>
      <c r="G459" t="str">
        <f t="shared" si="46"/>
        <v>sell</v>
      </c>
      <c r="H459">
        <f t="shared" si="47"/>
        <v>1</v>
      </c>
      <c r="I459" t="str">
        <f t="shared" si="48"/>
        <v>keep</v>
      </c>
      <c r="J459">
        <f t="shared" si="44"/>
        <v>0</v>
      </c>
      <c r="K459">
        <f t="shared" si="45"/>
        <v>0</v>
      </c>
      <c r="L459">
        <f t="shared" si="49"/>
        <v>0</v>
      </c>
      <c r="M459">
        <f>IF(I459="sell",N458+(N458*E459/100),IF(I459="buy",0,M458))</f>
        <v>1528.6959592990429</v>
      </c>
      <c r="N459">
        <f>IF(I459="buy",M458,IF(I459="sell",0,IF(AND(I459="keep",N458&lt;&gt;0),N458+(N458*E458/100),N458)))</f>
        <v>0</v>
      </c>
      <c r="O459">
        <f>O458+(O458*E459/100)</f>
        <v>1476.1870898200955</v>
      </c>
    </row>
    <row r="460" spans="1:15" x14ac:dyDescent="0.25">
      <c r="A460" s="1">
        <v>45754</v>
      </c>
      <c r="B460">
        <v>-2.0152706232362201</v>
      </c>
      <c r="C460">
        <v>0.18956799019984499</v>
      </c>
      <c r="D460">
        <v>-3.6734289151142701</v>
      </c>
      <c r="E460">
        <v>-3.9574772747853899</v>
      </c>
      <c r="F460" s="3">
        <v>-1.0769517843859</v>
      </c>
      <c r="G460" t="str">
        <f t="shared" si="46"/>
        <v>sell</v>
      </c>
      <c r="H460">
        <f t="shared" si="47"/>
        <v>0</v>
      </c>
      <c r="I460" t="str">
        <f t="shared" si="48"/>
        <v>keep</v>
      </c>
      <c r="J460">
        <f t="shared" si="44"/>
        <v>0</v>
      </c>
      <c r="K460">
        <f t="shared" si="45"/>
        <v>0</v>
      </c>
      <c r="L460">
        <f t="shared" si="49"/>
        <v>0</v>
      </c>
      <c r="M460">
        <f>IF(I460="sell",N459+(N459*E460/100),IF(I460="buy",0,M459))</f>
        <v>1528.6959592990429</v>
      </c>
      <c r="N460">
        <f>IF(I460="buy",M459,IF(I460="sell",0,IF(AND(I460="keep",N459&lt;&gt;0),N459+(N459*E459/100),N459)))</f>
        <v>0</v>
      </c>
      <c r="O460">
        <f>O459+(O459*E460/100)</f>
        <v>1417.7673212071495</v>
      </c>
    </row>
    <row r="461" spans="1:15" x14ac:dyDescent="0.25">
      <c r="A461" s="1">
        <v>45755</v>
      </c>
      <c r="B461">
        <v>0.57940071265931703</v>
      </c>
      <c r="C461">
        <v>-1.95218604767903</v>
      </c>
      <c r="D461">
        <v>-4.9818185438702303</v>
      </c>
      <c r="E461">
        <v>2.2755179657235098</v>
      </c>
      <c r="F461" s="3">
        <v>-0.85292040840789296</v>
      </c>
      <c r="G461" t="str">
        <f t="shared" si="46"/>
        <v>sell</v>
      </c>
      <c r="H461">
        <f t="shared" si="47"/>
        <v>1</v>
      </c>
      <c r="I461" t="str">
        <f t="shared" si="48"/>
        <v>keep</v>
      </c>
      <c r="J461">
        <f t="shared" si="44"/>
        <v>0</v>
      </c>
      <c r="K461">
        <f t="shared" si="45"/>
        <v>0</v>
      </c>
      <c r="L461">
        <f t="shared" si="49"/>
        <v>0</v>
      </c>
      <c r="M461">
        <f>IF(I461="sell",N460+(N460*E461/100),IF(I461="buy",0,M460))</f>
        <v>1528.6959592990429</v>
      </c>
      <c r="N461">
        <f>IF(I461="buy",M460,IF(I461="sell",0,IF(AND(I461="keep",N460&lt;&gt;0),N460+(N460*E460/100),N460)))</f>
        <v>0</v>
      </c>
      <c r="O461">
        <f>O460+(O460*E461/100)</f>
        <v>1450.028871313375</v>
      </c>
    </row>
    <row r="462" spans="1:15" x14ac:dyDescent="0.25">
      <c r="A462" s="1">
        <v>45756</v>
      </c>
      <c r="B462">
        <v>2.96793223806162</v>
      </c>
      <c r="C462">
        <v>12.022305559190301</v>
      </c>
      <c r="D462">
        <v>15.3288514581338</v>
      </c>
      <c r="E462">
        <v>-5.2916385180868799</v>
      </c>
      <c r="F462" s="3">
        <v>5.02116887451675</v>
      </c>
      <c r="G462" t="str">
        <f t="shared" si="46"/>
        <v>buy</v>
      </c>
      <c r="H462">
        <f t="shared" si="47"/>
        <v>1</v>
      </c>
      <c r="I462" t="str">
        <f t="shared" si="48"/>
        <v>buy</v>
      </c>
      <c r="J462">
        <f t="shared" si="44"/>
        <v>1</v>
      </c>
      <c r="K462">
        <f t="shared" si="45"/>
        <v>0</v>
      </c>
      <c r="L462">
        <f t="shared" si="49"/>
        <v>1</v>
      </c>
      <c r="M462">
        <f>IF(I462="sell",N461+(N461*E462/100),IF(I462="buy",0,M461))</f>
        <v>0</v>
      </c>
      <c r="N462">
        <f>IF(I462="buy",M461,IF(I462="sell",0,IF(AND(I462="keep",N461&lt;&gt;0),N461+(N461*E461/100),N461)))</f>
        <v>1528.6959592990429</v>
      </c>
      <c r="O462">
        <f>O461+(O461*E462/100)</f>
        <v>1373.298585035576</v>
      </c>
    </row>
    <row r="463" spans="1:15" x14ac:dyDescent="0.25">
      <c r="A463" s="1">
        <v>45757</v>
      </c>
      <c r="B463">
        <v>3.2291821093366702</v>
      </c>
      <c r="C463">
        <v>-4.1864074151796</v>
      </c>
      <c r="D463">
        <v>-4.2393706588289302</v>
      </c>
      <c r="E463">
        <v>4.7301627329392</v>
      </c>
      <c r="F463" s="3">
        <v>-0.53526593065273198</v>
      </c>
      <c r="G463" t="str">
        <f t="shared" si="46"/>
        <v>sell</v>
      </c>
      <c r="H463">
        <f t="shared" si="47"/>
        <v>1</v>
      </c>
      <c r="I463" t="str">
        <f t="shared" si="48"/>
        <v>sell</v>
      </c>
      <c r="J463">
        <f t="shared" si="44"/>
        <v>0</v>
      </c>
      <c r="K463">
        <f t="shared" si="45"/>
        <v>1</v>
      </c>
      <c r="L463">
        <f t="shared" si="49"/>
        <v>1</v>
      </c>
      <c r="M463">
        <f>IF(I463="sell",N462+(N462*E463/100),IF(I463="buy",0,M462))</f>
        <v>1601.0057658657536</v>
      </c>
      <c r="N463">
        <f>IF(I463="buy",M462,IF(I463="sell",0,IF(AND(I463="keep",N462&lt;&gt;0),N462+(N462*E462/100),N462)))</f>
        <v>0</v>
      </c>
      <c r="O463">
        <f>O462+(O462*E463/100)</f>
        <v>1438.2578429169102</v>
      </c>
    </row>
    <row r="464" spans="1:15" x14ac:dyDescent="0.25">
      <c r="A464" s="1">
        <v>45758</v>
      </c>
      <c r="B464">
        <v>2.1234787346873398</v>
      </c>
      <c r="C464">
        <v>1.8888387748261499</v>
      </c>
      <c r="D464">
        <v>4.0594321482679101</v>
      </c>
      <c r="E464">
        <v>-0.63656713144228905</v>
      </c>
      <c r="F464" s="3">
        <v>1.4760127145367801</v>
      </c>
      <c r="G464" t="str">
        <f t="shared" si="46"/>
        <v>buy</v>
      </c>
      <c r="H464">
        <f t="shared" si="47"/>
        <v>1</v>
      </c>
      <c r="I464" t="str">
        <f t="shared" si="48"/>
        <v>buy</v>
      </c>
      <c r="J464">
        <f t="shared" si="44"/>
        <v>1</v>
      </c>
      <c r="K464">
        <f t="shared" si="45"/>
        <v>0</v>
      </c>
      <c r="L464">
        <f t="shared" si="49"/>
        <v>1</v>
      </c>
      <c r="M464">
        <f>IF(I464="sell",N463+(N463*E464/100),IF(I464="buy",0,M463))</f>
        <v>0</v>
      </c>
      <c r="N464">
        <f>IF(I464="buy",M463,IF(I464="sell",0,IF(AND(I464="keep",N463&lt;&gt;0),N463+(N463*E463/100),N463)))</f>
        <v>1601.0057658657536</v>
      </c>
      <c r="O464">
        <f>O463+(O463*E464/100)</f>
        <v>1429.1023662235102</v>
      </c>
    </row>
    <row r="465" spans="1:15" x14ac:dyDescent="0.25">
      <c r="A465" s="1">
        <v>45761</v>
      </c>
      <c r="B465">
        <v>-0.54000070161449498</v>
      </c>
      <c r="C465">
        <v>0.56697946538650701</v>
      </c>
      <c r="D465">
        <v>2.2054129970375498</v>
      </c>
      <c r="E465">
        <v>3.66077174153178</v>
      </c>
      <c r="F465" s="3">
        <v>0.41291455425166301</v>
      </c>
      <c r="G465" t="str">
        <f t="shared" si="46"/>
        <v>buy</v>
      </c>
      <c r="H465">
        <f t="shared" si="47"/>
        <v>1</v>
      </c>
      <c r="I465" t="str">
        <f t="shared" si="48"/>
        <v>keep</v>
      </c>
      <c r="J465">
        <f t="shared" si="44"/>
        <v>0</v>
      </c>
      <c r="K465">
        <f t="shared" si="45"/>
        <v>0</v>
      </c>
      <c r="L465">
        <f t="shared" si="49"/>
        <v>0</v>
      </c>
      <c r="M465">
        <f>IF(I465="sell",N464+(N464*E465/100),IF(I465="buy",0,M464))</f>
        <v>0</v>
      </c>
      <c r="N465">
        <f>IF(I465="buy",M464,IF(I465="sell",0,IF(AND(I465="keep",N464&lt;&gt;0),N464+(N464*E464/100),N464)))</f>
        <v>1590.8142893877564</v>
      </c>
      <c r="O465">
        <f>O464+(O464*E465/100)</f>
        <v>1481.4185418037825</v>
      </c>
    </row>
    <row r="466" spans="1:15" x14ac:dyDescent="0.25">
      <c r="A466" s="1">
        <v>45762</v>
      </c>
      <c r="B466">
        <v>0.433721359584748</v>
      </c>
      <c r="C466">
        <v>0.182011608591503</v>
      </c>
      <c r="D466">
        <v>-0.18763720389342001</v>
      </c>
      <c r="E466">
        <v>3.14891197938584</v>
      </c>
      <c r="F466" s="3">
        <v>0.14204529599866</v>
      </c>
      <c r="G466" t="str">
        <f t="shared" si="46"/>
        <v>keep</v>
      </c>
      <c r="H466">
        <f t="shared" si="47"/>
        <v>1</v>
      </c>
      <c r="I466" t="str">
        <f t="shared" si="48"/>
        <v>keep</v>
      </c>
      <c r="J466">
        <f t="shared" si="44"/>
        <v>0</v>
      </c>
      <c r="K466">
        <f t="shared" si="45"/>
        <v>0</v>
      </c>
      <c r="L466">
        <f t="shared" si="49"/>
        <v>0</v>
      </c>
      <c r="M466">
        <f>IF(I466="sell",N465+(N465*E466/100),IF(I466="buy",0,M465))</f>
        <v>0</v>
      </c>
      <c r="N466">
        <f>IF(I466="buy",M465,IF(I466="sell",0,IF(AND(I466="keep",N465&lt;&gt;0),N465+(N465*E465/100),N465)))</f>
        <v>1649.0503693539129</v>
      </c>
      <c r="O466">
        <f>O465+(O465*E466/100)</f>
        <v>1528.0671077314848</v>
      </c>
    </row>
    <row r="467" spans="1:15" x14ac:dyDescent="0.25">
      <c r="A467" s="1">
        <v>45763</v>
      </c>
      <c r="B467">
        <v>3.3522896859364102</v>
      </c>
      <c r="C467">
        <v>-3.04080103905393</v>
      </c>
      <c r="D467">
        <v>-3.8933437517184402</v>
      </c>
      <c r="E467">
        <v>5.7063381300181903E-2</v>
      </c>
      <c r="F467" s="3">
        <v>-0.31197543338523198</v>
      </c>
      <c r="G467" t="str">
        <f t="shared" si="46"/>
        <v>sell</v>
      </c>
      <c r="H467">
        <f t="shared" si="47"/>
        <v>0</v>
      </c>
      <c r="I467" t="str">
        <f t="shared" si="48"/>
        <v>sell</v>
      </c>
      <c r="J467">
        <f t="shared" si="44"/>
        <v>0</v>
      </c>
      <c r="K467">
        <f t="shared" si="45"/>
        <v>1</v>
      </c>
      <c r="L467">
        <f t="shared" si="49"/>
        <v>0</v>
      </c>
      <c r="M467">
        <f>IF(I467="sell",N466+(N466*E467/100),IF(I467="buy",0,M466))</f>
        <v>1649.9913732540094</v>
      </c>
      <c r="N467">
        <f>IF(I467="buy",M466,IF(I467="sell",0,IF(AND(I467="keep",N466&lt;&gt;0),N466+(N466*E466/100),N466)))</f>
        <v>0</v>
      </c>
      <c r="O467">
        <f>O466+(O466*E467/100)</f>
        <v>1528.9390744916923</v>
      </c>
    </row>
    <row r="468" spans="1:15" x14ac:dyDescent="0.25">
      <c r="A468" s="1">
        <v>45764</v>
      </c>
      <c r="B468">
        <v>-0.53809132323979703</v>
      </c>
      <c r="C468">
        <v>2.4604425030937999E-3</v>
      </c>
      <c r="D468">
        <v>1.39496327756039</v>
      </c>
      <c r="E468">
        <v>1.7964086873366101</v>
      </c>
      <c r="F468" s="3">
        <v>0.198813207027835</v>
      </c>
      <c r="G468" t="str">
        <f t="shared" si="46"/>
        <v>buy</v>
      </c>
      <c r="H468">
        <f t="shared" si="47"/>
        <v>1</v>
      </c>
      <c r="I468" t="str">
        <f t="shared" si="48"/>
        <v>buy</v>
      </c>
      <c r="J468">
        <f t="shared" si="44"/>
        <v>1</v>
      </c>
      <c r="K468">
        <f t="shared" si="45"/>
        <v>0</v>
      </c>
      <c r="L468">
        <f t="shared" si="49"/>
        <v>1</v>
      </c>
      <c r="M468">
        <f>IF(I468="sell",N467+(N467*E468/100),IF(I468="buy",0,M467))</f>
        <v>0</v>
      </c>
      <c r="N468">
        <f>IF(I468="buy",M467,IF(I468="sell",0,IF(AND(I468="keep",N467&lt;&gt;0),N467+(N467*E467/100),N467)))</f>
        <v>1649.9913732540094</v>
      </c>
      <c r="O468">
        <f>O467+(O467*E468/100)</f>
        <v>1556.4050688499451</v>
      </c>
    </row>
    <row r="469" spans="1:15" x14ac:dyDescent="0.25">
      <c r="A469" s="1">
        <v>45770</v>
      </c>
      <c r="B469">
        <v>-3.6609032643039701</v>
      </c>
      <c r="C469">
        <v>2.2808068204381402</v>
      </c>
      <c r="D469">
        <v>2.4331664923032701</v>
      </c>
      <c r="E469">
        <v>0.36140853078840901</v>
      </c>
      <c r="F469" s="3">
        <v>-9.8124646697452494E-2</v>
      </c>
      <c r="G469" t="str">
        <f t="shared" si="46"/>
        <v>keep</v>
      </c>
      <c r="H469">
        <f t="shared" si="47"/>
        <v>0</v>
      </c>
      <c r="I469" t="str">
        <f t="shared" si="48"/>
        <v>keep</v>
      </c>
      <c r="J469">
        <f t="shared" si="44"/>
        <v>0</v>
      </c>
      <c r="K469">
        <f t="shared" si="45"/>
        <v>0</v>
      </c>
      <c r="L469">
        <f t="shared" si="49"/>
        <v>0</v>
      </c>
      <c r="M469">
        <f>IF(I469="sell",N468+(N468*E469/100),IF(I469="buy",0,M468))</f>
        <v>0</v>
      </c>
      <c r="N469">
        <f>IF(I469="buy",M468,IF(I469="sell",0,IF(AND(I469="keep",N468&lt;&gt;0),N468+(N468*E468/100),N468)))</f>
        <v>1679.6319616234491</v>
      </c>
      <c r="O469">
        <f>O468+(O468*E469/100)</f>
        <v>1562.0300495423921</v>
      </c>
    </row>
    <row r="470" spans="1:15" x14ac:dyDescent="0.25">
      <c r="A470" s="1">
        <v>45771</v>
      </c>
      <c r="B470">
        <v>1.7000869988021301</v>
      </c>
      <c r="C470">
        <v>2.7878531167598801</v>
      </c>
      <c r="D470">
        <v>1.84260656985586</v>
      </c>
      <c r="E470">
        <v>0.52631800429054898</v>
      </c>
      <c r="F470" s="3">
        <v>1.13734607902094</v>
      </c>
      <c r="G470" t="str">
        <f t="shared" si="46"/>
        <v>buy</v>
      </c>
      <c r="H470">
        <f t="shared" si="47"/>
        <v>1</v>
      </c>
      <c r="I470" t="str">
        <f t="shared" si="48"/>
        <v>keep</v>
      </c>
      <c r="J470">
        <f t="shared" si="44"/>
        <v>0</v>
      </c>
      <c r="K470">
        <f t="shared" si="45"/>
        <v>0</v>
      </c>
      <c r="L470">
        <f t="shared" si="49"/>
        <v>0</v>
      </c>
      <c r="M470">
        <f>IF(I470="sell",N469+(N469*E470/100),IF(I470="buy",0,M469))</f>
        <v>0</v>
      </c>
      <c r="N470">
        <f>IF(I470="buy",M469,IF(I470="sell",0,IF(AND(I470="keep",N469&lt;&gt;0),N469+(N469*E469/100),N469)))</f>
        <v>1685.702294818605</v>
      </c>
      <c r="O470">
        <f>O469+(O469*E470/100)</f>
        <v>1570.2512949255624</v>
      </c>
    </row>
    <row r="471" spans="1:15" x14ac:dyDescent="0.25">
      <c r="A471" s="1">
        <v>45772</v>
      </c>
      <c r="B471">
        <v>-1.4885983690351099</v>
      </c>
      <c r="C471">
        <v>1.13539924127137</v>
      </c>
      <c r="D471">
        <v>0.43672665819640599</v>
      </c>
      <c r="E471">
        <v>0.79913025651330205</v>
      </c>
      <c r="F471" s="3">
        <v>-7.0945122963654295E-2</v>
      </c>
      <c r="G471" t="str">
        <f t="shared" si="46"/>
        <v>keep</v>
      </c>
      <c r="H471">
        <f t="shared" si="47"/>
        <v>0</v>
      </c>
      <c r="I471" t="str">
        <f t="shared" si="48"/>
        <v>keep</v>
      </c>
      <c r="J471">
        <f t="shared" si="44"/>
        <v>0</v>
      </c>
      <c r="K471">
        <f t="shared" si="45"/>
        <v>0</v>
      </c>
      <c r="L471">
        <f t="shared" si="49"/>
        <v>0</v>
      </c>
      <c r="M471">
        <f>IF(I471="sell",N470+(N470*E471/100),IF(I471="buy",0,M470))</f>
        <v>0</v>
      </c>
      <c r="N471">
        <f>IF(I471="buy",M470,IF(I471="sell",0,IF(AND(I471="keep",N470&lt;&gt;0),N470+(N470*E470/100),N470)))</f>
        <v>1694.5744494949743</v>
      </c>
      <c r="O471">
        <f>O470+(O470*E471/100)</f>
        <v>1582.7996481266046</v>
      </c>
    </row>
    <row r="472" spans="1:15" x14ac:dyDescent="0.25">
      <c r="A472" s="1">
        <v>45775</v>
      </c>
      <c r="B472">
        <v>1.5263252238240901</v>
      </c>
      <c r="C472">
        <v>-2.7127070373888999E-2</v>
      </c>
      <c r="D472">
        <v>0.41093352854426601</v>
      </c>
      <c r="E472">
        <v>1.06614517493188</v>
      </c>
      <c r="F472" s="3">
        <v>0.49269012752989499</v>
      </c>
      <c r="G472" t="str">
        <f t="shared" si="46"/>
        <v>buy</v>
      </c>
      <c r="H472">
        <f t="shared" si="47"/>
        <v>0</v>
      </c>
      <c r="I472" t="str">
        <f t="shared" si="48"/>
        <v>keep</v>
      </c>
      <c r="J472">
        <f t="shared" si="44"/>
        <v>0</v>
      </c>
      <c r="K472">
        <f t="shared" si="45"/>
        <v>0</v>
      </c>
      <c r="L472">
        <f t="shared" si="49"/>
        <v>0</v>
      </c>
      <c r="M472">
        <f>IF(I472="sell",N471+(N471*E472/100),IF(I472="buy",0,M471))</f>
        <v>0</v>
      </c>
      <c r="N472">
        <f>IF(I472="buy",M471,IF(I472="sell",0,IF(AND(I472="keep",N471&lt;&gt;0),N471+(N471*E471/100),N471)))</f>
        <v>1708.1163066400322</v>
      </c>
      <c r="O472">
        <f>O471+(O471*E472/100)</f>
        <v>1599.6745902039452</v>
      </c>
    </row>
    <row r="473" spans="1:15" x14ac:dyDescent="0.25">
      <c r="A473" s="1">
        <v>45776</v>
      </c>
      <c r="B473">
        <v>-0.41110131048387399</v>
      </c>
      <c r="C473">
        <v>0.60564372039490999</v>
      </c>
      <c r="D473">
        <v>0.50918035034819198</v>
      </c>
      <c r="E473">
        <v>-0.486877028541643</v>
      </c>
      <c r="F473" s="3">
        <v>0.14024823212433599</v>
      </c>
      <c r="G473" t="str">
        <f t="shared" si="46"/>
        <v>keep</v>
      </c>
      <c r="H473">
        <f t="shared" si="47"/>
        <v>1</v>
      </c>
      <c r="I473" t="str">
        <f t="shared" si="48"/>
        <v>keep</v>
      </c>
      <c r="J473">
        <f t="shared" si="44"/>
        <v>0</v>
      </c>
      <c r="K473">
        <f t="shared" si="45"/>
        <v>0</v>
      </c>
      <c r="L473">
        <f t="shared" si="49"/>
        <v>0</v>
      </c>
      <c r="M473">
        <f>IF(I473="sell",N472+(N472*E473/100),IF(I473="buy",0,M472))</f>
        <v>0</v>
      </c>
      <c r="N473">
        <f>IF(I473="buy",M472,IF(I473="sell",0,IF(AND(I473="keep",N472&lt;&gt;0),N472+(N472*E472/100),N472)))</f>
        <v>1726.3273062254996</v>
      </c>
      <c r="O473">
        <f>O472+(O472*E473/100)</f>
        <v>1591.8861420928245</v>
      </c>
    </row>
    <row r="474" spans="1:15" x14ac:dyDescent="0.25">
      <c r="A474" s="1">
        <v>45777</v>
      </c>
      <c r="B474">
        <v>-0.41581440957848498</v>
      </c>
      <c r="C474">
        <v>0.13338644274905001</v>
      </c>
      <c r="D474">
        <v>0.61077137886491595</v>
      </c>
      <c r="E474">
        <v>1.2775177692609401</v>
      </c>
      <c r="F474" s="3">
        <v>0.106057155476596</v>
      </c>
      <c r="G474" t="str">
        <f t="shared" si="46"/>
        <v>keep</v>
      </c>
      <c r="H474">
        <f t="shared" si="47"/>
        <v>1</v>
      </c>
      <c r="I474" t="str">
        <f t="shared" si="48"/>
        <v>keep</v>
      </c>
      <c r="J474">
        <f t="shared" si="44"/>
        <v>0</v>
      </c>
      <c r="K474">
        <f t="shared" si="45"/>
        <v>0</v>
      </c>
      <c r="L474">
        <f t="shared" si="49"/>
        <v>0</v>
      </c>
      <c r="M474">
        <f>IF(I474="sell",N473+(N473*E474/100),IF(I474="buy",0,M473))</f>
        <v>0</v>
      </c>
      <c r="N474">
        <f>IF(I474="buy",M473,IF(I474="sell",0,IF(AND(I474="keep",N473&lt;&gt;0),N473+(N473*E473/100),N473)))</f>
        <v>1717.9222151340459</v>
      </c>
      <c r="O474">
        <f>O473+(O473*E474/100)</f>
        <v>1612.2227704244629</v>
      </c>
    </row>
    <row r="475" spans="1:15" x14ac:dyDescent="0.25">
      <c r="A475" s="1">
        <v>45782</v>
      </c>
      <c r="B475">
        <v>2.45676378859365</v>
      </c>
      <c r="C475">
        <v>-0.66991264349233104</v>
      </c>
      <c r="D475">
        <v>-3.1458498670887298</v>
      </c>
      <c r="E475">
        <v>0.629922813102612</v>
      </c>
      <c r="F475" s="3">
        <v>-5.5672642941531097E-2</v>
      </c>
      <c r="G475" t="str">
        <f t="shared" si="46"/>
        <v>keep</v>
      </c>
      <c r="H475">
        <f t="shared" si="47"/>
        <v>0</v>
      </c>
      <c r="I475" t="str">
        <f t="shared" si="48"/>
        <v>keep</v>
      </c>
      <c r="J475">
        <f t="shared" si="44"/>
        <v>0</v>
      </c>
      <c r="K475">
        <f t="shared" si="45"/>
        <v>0</v>
      </c>
      <c r="L475">
        <f t="shared" si="49"/>
        <v>0</v>
      </c>
      <c r="M475">
        <f>IF(I475="sell",N474+(N474*E475/100),IF(I475="buy",0,M474))</f>
        <v>0</v>
      </c>
      <c r="N475">
        <f>IF(I475="buy",M474,IF(I475="sell",0,IF(AND(I475="keep",N474&lt;&gt;0),N474+(N474*E474/100),N474)))</f>
        <v>1739.8689766944644</v>
      </c>
      <c r="O475">
        <f>O474+(O474*E475/100)</f>
        <v>1622.3785294534016</v>
      </c>
    </row>
    <row r="476" spans="1:15" x14ac:dyDescent="0.25">
      <c r="A476" s="1">
        <v>45783</v>
      </c>
      <c r="B476">
        <v>3.0229774420790001</v>
      </c>
      <c r="C476">
        <v>-0.88436688304542799</v>
      </c>
      <c r="D476">
        <v>-0.191069524364673</v>
      </c>
      <c r="E476">
        <v>0.28691167257952599</v>
      </c>
      <c r="F476" s="3">
        <v>0.61179907382507503</v>
      </c>
      <c r="G476" t="str">
        <f t="shared" si="46"/>
        <v>buy</v>
      </c>
      <c r="H476">
        <f t="shared" si="47"/>
        <v>0</v>
      </c>
      <c r="I476" t="str">
        <f t="shared" si="48"/>
        <v>keep</v>
      </c>
      <c r="J476">
        <f t="shared" si="44"/>
        <v>0</v>
      </c>
      <c r="K476">
        <f t="shared" si="45"/>
        <v>0</v>
      </c>
      <c r="L476">
        <f t="shared" si="49"/>
        <v>0</v>
      </c>
      <c r="M476">
        <f>IF(I476="sell",N475+(N475*E476/100),IF(I476="buy",0,M475))</f>
        <v>0</v>
      </c>
      <c r="N476">
        <f>IF(I476="buy",M475,IF(I476="sell",0,IF(AND(I476="keep",N475&lt;&gt;0),N475+(N475*E475/100),N475)))</f>
        <v>1750.8288082967579</v>
      </c>
      <c r="O476">
        <f>O475+(O475*E476/100)</f>
        <v>1627.0333228278275</v>
      </c>
    </row>
    <row r="477" spans="1:15" x14ac:dyDescent="0.25">
      <c r="A477" s="1">
        <v>45784</v>
      </c>
      <c r="B477">
        <v>-0.87940437529440096</v>
      </c>
      <c r="C477">
        <v>0.38714435984550299</v>
      </c>
      <c r="D477">
        <v>-1.1384769833375601</v>
      </c>
      <c r="E477">
        <v>-0.59817482442157099</v>
      </c>
      <c r="F477" s="3">
        <v>-0.28900999172027803</v>
      </c>
      <c r="G477" t="str">
        <f t="shared" si="46"/>
        <v>sell</v>
      </c>
      <c r="H477">
        <f t="shared" si="47"/>
        <v>1</v>
      </c>
      <c r="I477" t="str">
        <f t="shared" si="48"/>
        <v>sell</v>
      </c>
      <c r="J477">
        <f t="shared" si="44"/>
        <v>0</v>
      </c>
      <c r="K477">
        <f t="shared" si="45"/>
        <v>1</v>
      </c>
      <c r="L477">
        <f t="shared" si="49"/>
        <v>1</v>
      </c>
      <c r="M477">
        <f>IF(I477="sell",N476+(N476*E477/100),IF(I477="buy",0,M476))</f>
        <v>1740.3557911468065</v>
      </c>
      <c r="N477">
        <f>IF(I477="buy",M476,IF(I477="sell",0,IF(AND(I477="keep",N476&lt;&gt;0),N476+(N476*E476/100),N476)))</f>
        <v>0</v>
      </c>
      <c r="O477">
        <f>O476+(O476*E477/100)</f>
        <v>1617.3008191057218</v>
      </c>
    </row>
    <row r="478" spans="1:15" x14ac:dyDescent="0.25">
      <c r="A478" s="1">
        <v>45785</v>
      </c>
      <c r="B478">
        <v>-2.5078312869389499</v>
      </c>
      <c r="C478">
        <v>0.98444801772954404</v>
      </c>
      <c r="D478">
        <v>0.63184946335548198</v>
      </c>
      <c r="E478">
        <v>-0.19193773644428</v>
      </c>
      <c r="F478" s="3">
        <v>-0.238168494983306</v>
      </c>
      <c r="G478" t="str">
        <f t="shared" si="46"/>
        <v>sell</v>
      </c>
      <c r="H478">
        <f t="shared" si="47"/>
        <v>0</v>
      </c>
      <c r="I478" t="str">
        <f t="shared" si="48"/>
        <v>keep</v>
      </c>
      <c r="J478">
        <f t="shared" si="44"/>
        <v>0</v>
      </c>
      <c r="K478">
        <f t="shared" si="45"/>
        <v>0</v>
      </c>
      <c r="L478">
        <f t="shared" si="49"/>
        <v>0</v>
      </c>
      <c r="M478">
        <f>IF(I478="sell",N477+(N477*E478/100),IF(I478="buy",0,M477))</f>
        <v>1740.3557911468065</v>
      </c>
      <c r="N478">
        <f>IF(I478="buy",M477,IF(I478="sell",0,IF(AND(I478="keep",N477&lt;&gt;0),N477+(N477*E477/100),N477)))</f>
        <v>0</v>
      </c>
      <c r="O478">
        <f>O477+(O477*E478/100)</f>
        <v>1614.1966085220354</v>
      </c>
    </row>
    <row r="479" spans="1:15" x14ac:dyDescent="0.25">
      <c r="A479" s="1">
        <v>45786</v>
      </c>
      <c r="B479">
        <v>1.1769642522029</v>
      </c>
      <c r="C479">
        <v>-1.0523197615230901E-2</v>
      </c>
      <c r="D479">
        <v>0.52660762045610898</v>
      </c>
      <c r="E479">
        <v>0.96153422925617804</v>
      </c>
      <c r="F479" s="3">
        <v>0.414771132744157</v>
      </c>
      <c r="G479" t="str">
        <f t="shared" si="46"/>
        <v>buy</v>
      </c>
      <c r="H479">
        <f t="shared" si="47"/>
        <v>1</v>
      </c>
      <c r="I479" t="str">
        <f t="shared" si="48"/>
        <v>buy</v>
      </c>
      <c r="J479">
        <f t="shared" si="44"/>
        <v>1</v>
      </c>
      <c r="K479">
        <f t="shared" si="45"/>
        <v>0</v>
      </c>
      <c r="L479">
        <f t="shared" si="49"/>
        <v>1</v>
      </c>
      <c r="M479">
        <f>IF(I479="sell",N478+(N478*E479/100),IF(I479="buy",0,M478))</f>
        <v>0</v>
      </c>
      <c r="N479">
        <f>IF(I479="buy",M478,IF(I479="sell",0,IF(AND(I479="keep",N478&lt;&gt;0),N478+(N478*E478/100),N478)))</f>
        <v>1740.3557911468065</v>
      </c>
      <c r="O479">
        <f>O478+(O478*E479/100)</f>
        <v>1629.7176614404671</v>
      </c>
    </row>
    <row r="480" spans="1:15" x14ac:dyDescent="0.25">
      <c r="A480" s="1">
        <v>45789</v>
      </c>
      <c r="B480">
        <v>-3.4598520633960499</v>
      </c>
      <c r="C480">
        <v>4.0211510299117998</v>
      </c>
      <c r="D480">
        <v>6.3146226632999403</v>
      </c>
      <c r="E480">
        <v>2.2040853694993601</v>
      </c>
      <c r="F480" s="3">
        <v>1.0105248343431601</v>
      </c>
      <c r="G480" t="str">
        <f t="shared" si="46"/>
        <v>buy</v>
      </c>
      <c r="H480">
        <f t="shared" si="47"/>
        <v>1</v>
      </c>
      <c r="I480" t="str">
        <f t="shared" si="48"/>
        <v>keep</v>
      </c>
      <c r="J480">
        <f t="shared" si="44"/>
        <v>0</v>
      </c>
      <c r="K480">
        <f t="shared" si="45"/>
        <v>0</v>
      </c>
      <c r="L480">
        <f t="shared" si="49"/>
        <v>0</v>
      </c>
      <c r="M480">
        <f>IF(I480="sell",N479+(N479*E480/100),IF(I480="buy",0,M479))</f>
        <v>0</v>
      </c>
      <c r="N480">
        <f>IF(I480="buy",M479,IF(I480="sell",0,IF(AND(I480="keep",N479&lt;&gt;0),N479+(N479*E479/100),N479)))</f>
        <v>1757.0899077895251</v>
      </c>
      <c r="O480">
        <f>O479+(O479*E480/100)</f>
        <v>1665.6380299804234</v>
      </c>
    </row>
    <row r="481" spans="1:15" x14ac:dyDescent="0.25">
      <c r="A481" s="1">
        <v>45790</v>
      </c>
      <c r="B481">
        <v>0.63043629901009501</v>
      </c>
      <c r="C481">
        <v>1.5791951943812299</v>
      </c>
      <c r="D481">
        <v>1.01522562786038</v>
      </c>
      <c r="E481">
        <v>0.479234021817109</v>
      </c>
      <c r="F481" s="3">
        <v>0.59160600618055403</v>
      </c>
      <c r="G481" t="str">
        <f t="shared" si="46"/>
        <v>buy</v>
      </c>
      <c r="H481">
        <f t="shared" si="47"/>
        <v>1</v>
      </c>
      <c r="I481" t="str">
        <f t="shared" si="48"/>
        <v>keep</v>
      </c>
      <c r="J481">
        <f t="shared" si="44"/>
        <v>0</v>
      </c>
      <c r="K481">
        <f t="shared" si="45"/>
        <v>0</v>
      </c>
      <c r="L481">
        <f t="shared" si="49"/>
        <v>0</v>
      </c>
      <c r="M481">
        <f>IF(I481="sell",N480+(N480*E481/100),IF(I481="buy",0,M480))</f>
        <v>0</v>
      </c>
      <c r="N481">
        <f>IF(I481="buy",M480,IF(I481="sell",0,IF(AND(I481="keep",N480&lt;&gt;0),N480+(N480*E480/100),N480)))</f>
        <v>1795.8176693760638</v>
      </c>
      <c r="O481">
        <f>O480+(O480*E481/100)</f>
        <v>1673.6203341004139</v>
      </c>
    </row>
    <row r="482" spans="1:15" x14ac:dyDescent="0.25">
      <c r="A482" s="1">
        <v>45791</v>
      </c>
      <c r="B482">
        <v>-1.8177374192762299</v>
      </c>
      <c r="C482">
        <v>0.57323069591683695</v>
      </c>
      <c r="D482">
        <v>-0.281782849040834</v>
      </c>
      <c r="E482">
        <v>0.45044557865590001</v>
      </c>
      <c r="F482" s="3">
        <v>-0.306998087307842</v>
      </c>
      <c r="G482" t="str">
        <f t="shared" si="46"/>
        <v>sell</v>
      </c>
      <c r="H482">
        <f t="shared" si="47"/>
        <v>0</v>
      </c>
      <c r="I482" t="str">
        <f t="shared" si="48"/>
        <v>sell</v>
      </c>
      <c r="J482">
        <f t="shared" si="44"/>
        <v>0</v>
      </c>
      <c r="K482">
        <f t="shared" si="45"/>
        <v>1</v>
      </c>
      <c r="L482">
        <f t="shared" si="49"/>
        <v>0</v>
      </c>
      <c r="M482">
        <f>IF(I482="sell",N481+(N481*E482/100),IF(I482="buy",0,M481))</f>
        <v>1803.9068506684898</v>
      </c>
      <c r="N482">
        <f>IF(I482="buy",M481,IF(I482="sell",0,IF(AND(I482="keep",N481&lt;&gt;0),N481+(N481*E481/100),N481)))</f>
        <v>0</v>
      </c>
      <c r="O482">
        <f>O481+(O481*E482/100)</f>
        <v>1681.1590828988553</v>
      </c>
    </row>
    <row r="483" spans="1:15" x14ac:dyDescent="0.25">
      <c r="A483" s="1">
        <v>45792</v>
      </c>
      <c r="B483">
        <v>1.2353067842609999</v>
      </c>
      <c r="C483">
        <v>7.7908019432304507E-2</v>
      </c>
      <c r="D483">
        <v>-0.41444551834603999</v>
      </c>
      <c r="E483">
        <v>2.90160506079817</v>
      </c>
      <c r="F483" s="3">
        <v>0.267914259162918</v>
      </c>
      <c r="G483" t="str">
        <f t="shared" si="46"/>
        <v>buy</v>
      </c>
      <c r="H483">
        <f t="shared" si="47"/>
        <v>0</v>
      </c>
      <c r="I483" t="str">
        <f t="shared" si="48"/>
        <v>buy</v>
      </c>
      <c r="J483">
        <f t="shared" si="44"/>
        <v>1</v>
      </c>
      <c r="K483">
        <f t="shared" si="45"/>
        <v>0</v>
      </c>
      <c r="L483">
        <f t="shared" si="49"/>
        <v>0</v>
      </c>
      <c r="M483">
        <f>IF(I483="sell",N482+(N482*E483/100),IF(I483="buy",0,M482))</f>
        <v>0</v>
      </c>
      <c r="N483">
        <f>IF(I483="buy",M482,IF(I483="sell",0,IF(AND(I483="keep",N482&lt;&gt;0),N482+(N482*E482/100),N482)))</f>
        <v>1803.9068506684898</v>
      </c>
      <c r="O483">
        <f>O482+(O482*E483/100)</f>
        <v>1729.9396799283165</v>
      </c>
    </row>
    <row r="484" spans="1:15" x14ac:dyDescent="0.25">
      <c r="A484" s="1">
        <v>45793</v>
      </c>
      <c r="B484">
        <v>-1.20160063832688</v>
      </c>
      <c r="C484">
        <v>0.43175813854707801</v>
      </c>
      <c r="D484">
        <v>-8.98580776055313E-2</v>
      </c>
      <c r="E484">
        <v>-0.15380046443280701</v>
      </c>
      <c r="F484" s="3">
        <v>-0.12659268265758</v>
      </c>
      <c r="G484" t="str">
        <f t="shared" si="46"/>
        <v>keep</v>
      </c>
      <c r="H484">
        <f t="shared" si="47"/>
        <v>0</v>
      </c>
      <c r="I484" t="str">
        <f t="shared" si="48"/>
        <v>keep</v>
      </c>
      <c r="J484">
        <f t="shared" si="44"/>
        <v>0</v>
      </c>
      <c r="K484">
        <f t="shared" si="45"/>
        <v>0</v>
      </c>
      <c r="L484">
        <f t="shared" si="49"/>
        <v>0</v>
      </c>
      <c r="M484">
        <f>IF(I484="sell",N483+(N483*E484/100),IF(I484="buy",0,M483))</f>
        <v>0</v>
      </c>
      <c r="N484">
        <f>IF(I484="buy",M483,IF(I484="sell",0,IF(AND(I484="keep",N483&lt;&gt;0),N483+(N483*E483/100),N483)))</f>
        <v>1856.2491031395716</v>
      </c>
      <c r="O484">
        <f>O483+(O483*E484/100)</f>
        <v>1727.2790246661793</v>
      </c>
    </row>
    <row r="485" spans="1:15" x14ac:dyDescent="0.25">
      <c r="A485" s="1">
        <v>45796</v>
      </c>
      <c r="B485">
        <v>1.4739127072203</v>
      </c>
      <c r="C485">
        <v>8.9188828290320807E-2</v>
      </c>
      <c r="D485">
        <v>-1.17391030878803</v>
      </c>
      <c r="E485">
        <v>0.46213171155326999</v>
      </c>
      <c r="F485" s="3">
        <v>0.17675669387745399</v>
      </c>
      <c r="G485" t="str">
        <f t="shared" si="46"/>
        <v>buy</v>
      </c>
      <c r="H485">
        <f t="shared" si="47"/>
        <v>1</v>
      </c>
      <c r="I485" t="str">
        <f t="shared" si="48"/>
        <v>keep</v>
      </c>
      <c r="J485">
        <f t="shared" si="44"/>
        <v>0</v>
      </c>
      <c r="K485">
        <f t="shared" si="45"/>
        <v>0</v>
      </c>
      <c r="L485">
        <f t="shared" si="49"/>
        <v>0</v>
      </c>
      <c r="M485">
        <f>IF(I485="sell",N484+(N484*E485/100),IF(I485="buy",0,M484))</f>
        <v>0</v>
      </c>
      <c r="N485">
        <f>IF(I485="buy",M484,IF(I485="sell",0,IF(AND(I485="keep",N484&lt;&gt;0),N484+(N484*E484/100),N484)))</f>
        <v>1853.3941833979131</v>
      </c>
      <c r="O485">
        <f>O484+(O484*E485/100)</f>
        <v>1735.2613287861698</v>
      </c>
    </row>
    <row r="486" spans="1:15" x14ac:dyDescent="0.25">
      <c r="A486" s="1">
        <v>45797</v>
      </c>
      <c r="B486">
        <v>1.5918779782261301</v>
      </c>
      <c r="C486">
        <v>-0.37152726236215899</v>
      </c>
      <c r="D486">
        <v>-0.91962279674925296</v>
      </c>
      <c r="E486">
        <v>0.99667615385328201</v>
      </c>
      <c r="F486" s="3">
        <v>0.19421907591041601</v>
      </c>
      <c r="G486" t="str">
        <f t="shared" si="46"/>
        <v>buy</v>
      </c>
      <c r="H486">
        <f t="shared" si="47"/>
        <v>0</v>
      </c>
      <c r="I486" t="str">
        <f t="shared" si="48"/>
        <v>keep</v>
      </c>
      <c r="J486">
        <f t="shared" si="44"/>
        <v>0</v>
      </c>
      <c r="K486">
        <f t="shared" si="45"/>
        <v>0</v>
      </c>
      <c r="L486">
        <f t="shared" si="49"/>
        <v>0</v>
      </c>
      <c r="M486">
        <f>IF(I486="sell",N485+(N485*E486/100),IF(I486="buy",0,M485))</f>
        <v>0</v>
      </c>
      <c r="N486">
        <f>IF(I486="buy",M485,IF(I486="sell",0,IF(AND(I486="keep",N485&lt;&gt;0),N485+(N485*E485/100),N485)))</f>
        <v>1861.9593056594786</v>
      </c>
      <c r="O486">
        <f>O485+(O485*E486/100)</f>
        <v>1752.5562646572191</v>
      </c>
    </row>
    <row r="487" spans="1:15" x14ac:dyDescent="0.25">
      <c r="A487" s="1">
        <v>45798</v>
      </c>
      <c r="B487">
        <v>0.884065468656136</v>
      </c>
      <c r="C487">
        <v>-1.34321527248443</v>
      </c>
      <c r="D487">
        <v>-2.3059151208633399</v>
      </c>
      <c r="E487">
        <v>-0.202433780688304</v>
      </c>
      <c r="F487" s="3">
        <v>-0.32813460785139897</v>
      </c>
      <c r="G487" t="str">
        <f t="shared" si="46"/>
        <v>sell</v>
      </c>
      <c r="H487">
        <f t="shared" si="47"/>
        <v>0</v>
      </c>
      <c r="I487" t="str">
        <f t="shared" si="48"/>
        <v>sell</v>
      </c>
      <c r="J487">
        <f t="shared" si="44"/>
        <v>0</v>
      </c>
      <c r="K487">
        <f t="shared" si="45"/>
        <v>1</v>
      </c>
      <c r="L487">
        <f t="shared" si="49"/>
        <v>0</v>
      </c>
      <c r="M487">
        <f>IF(I487="sell",N486+(N486*E487/100),IF(I487="buy",0,M486))</f>
        <v>1858.1900710421544</v>
      </c>
      <c r="N487">
        <f>IF(I487="buy",M486,IF(I487="sell",0,IF(AND(I487="keep",N486&lt;&gt;0),N486+(N486*E486/100),N486)))</f>
        <v>0</v>
      </c>
      <c r="O487">
        <f>O486+(O486*E487/100)</f>
        <v>1749.0084987519838</v>
      </c>
    </row>
    <row r="488" spans="1:15" x14ac:dyDescent="0.25">
      <c r="A488" s="1">
        <v>45799</v>
      </c>
      <c r="B488">
        <v>-0.51370379685032797</v>
      </c>
      <c r="C488">
        <v>0.152328181667926</v>
      </c>
      <c r="D488">
        <v>-0.36122697774815199</v>
      </c>
      <c r="E488">
        <v>0.60852354671296904</v>
      </c>
      <c r="F488" s="3">
        <v>-6.6681223343612997E-2</v>
      </c>
      <c r="G488" t="str">
        <f t="shared" si="46"/>
        <v>keep</v>
      </c>
      <c r="H488">
        <f t="shared" si="47"/>
        <v>1</v>
      </c>
      <c r="I488" t="str">
        <f t="shared" si="48"/>
        <v>keep</v>
      </c>
      <c r="J488">
        <f t="shared" si="44"/>
        <v>0</v>
      </c>
      <c r="K488">
        <f t="shared" si="45"/>
        <v>0</v>
      </c>
      <c r="L488">
        <f t="shared" si="49"/>
        <v>0</v>
      </c>
      <c r="M488">
        <f>IF(I488="sell",N487+(N487*E488/100),IF(I488="buy",0,M487))</f>
        <v>1858.1900710421544</v>
      </c>
      <c r="N488">
        <f>IF(I488="buy",M487,IF(I488="sell",0,IF(AND(I488="keep",N487&lt;&gt;0),N487+(N487*E487/100),N487)))</f>
        <v>0</v>
      </c>
      <c r="O488">
        <f>O487+(O487*E488/100)</f>
        <v>1759.6516273009006</v>
      </c>
    </row>
    <row r="489" spans="1:15" x14ac:dyDescent="0.25">
      <c r="A489" s="1">
        <v>45800</v>
      </c>
      <c r="B489">
        <v>2.1656607165408199</v>
      </c>
      <c r="C489">
        <v>-0.93220044987850603</v>
      </c>
      <c r="D489">
        <v>-3.02442104147265</v>
      </c>
      <c r="E489">
        <v>-0.78125345490629405</v>
      </c>
      <c r="F489" s="3">
        <v>-0.135194423497626</v>
      </c>
      <c r="G489" t="str">
        <f t="shared" si="46"/>
        <v>keep</v>
      </c>
      <c r="H489">
        <f t="shared" si="47"/>
        <v>0</v>
      </c>
      <c r="I489" t="str">
        <f t="shared" si="48"/>
        <v>keep</v>
      </c>
      <c r="J489">
        <f t="shared" si="44"/>
        <v>0</v>
      </c>
      <c r="K489">
        <f t="shared" si="45"/>
        <v>0</v>
      </c>
      <c r="L489">
        <f t="shared" si="49"/>
        <v>0</v>
      </c>
      <c r="M489">
        <f>IF(I489="sell",N488+(N488*E489/100),IF(I489="buy",0,M488))</f>
        <v>1858.1900710421544</v>
      </c>
      <c r="N489">
        <f>IF(I489="buy",M488,IF(I489="sell",0,IF(AND(I489="keep",N488&lt;&gt;0),N488+(N488*E488/100),N488)))</f>
        <v>0</v>
      </c>
      <c r="O489">
        <f>O488+(O488*E489/100)</f>
        <v>1745.9042881682974</v>
      </c>
    </row>
    <row r="490" spans="1:15" x14ac:dyDescent="0.25">
      <c r="A490" s="1">
        <v>45805</v>
      </c>
      <c r="B490">
        <v>-0.16671212867737001</v>
      </c>
      <c r="C490">
        <v>-0.45211467033304797</v>
      </c>
      <c r="D490">
        <v>0.104884935886762</v>
      </c>
      <c r="E490">
        <v>2.56473720122005</v>
      </c>
      <c r="F490" s="3">
        <v>9.6382421128684698E-3</v>
      </c>
      <c r="G490" t="str">
        <f t="shared" si="46"/>
        <v>keep</v>
      </c>
      <c r="H490">
        <f t="shared" si="47"/>
        <v>1</v>
      </c>
      <c r="I490" t="str">
        <f t="shared" si="48"/>
        <v>keep</v>
      </c>
      <c r="J490">
        <f t="shared" si="44"/>
        <v>0</v>
      </c>
      <c r="K490">
        <f t="shared" si="45"/>
        <v>0</v>
      </c>
      <c r="L490">
        <f t="shared" si="49"/>
        <v>0</v>
      </c>
      <c r="M490">
        <f>IF(I490="sell",N489+(N489*E490/100),IF(I490="buy",0,M489))</f>
        <v>1858.1900710421544</v>
      </c>
      <c r="N490">
        <f>IF(I490="buy",M489,IF(I490="sell",0,IF(AND(I490="keep",N489&lt;&gt;0),N489+(N489*E489/100),N489)))</f>
        <v>0</v>
      </c>
      <c r="O490">
        <f>O489+(O489*E490/100)</f>
        <v>1790.6821449446459</v>
      </c>
    </row>
    <row r="491" spans="1:15" x14ac:dyDescent="0.25">
      <c r="A491" s="1">
        <v>45806</v>
      </c>
      <c r="B491">
        <v>0.71350495819826298</v>
      </c>
      <c r="C491">
        <v>0.214743090250091</v>
      </c>
      <c r="D491">
        <v>-0.23450596999541301</v>
      </c>
      <c r="E491">
        <v>0.79345519390887598</v>
      </c>
      <c r="F491" s="3">
        <v>0.23101434740399701</v>
      </c>
      <c r="G491" t="str">
        <f t="shared" si="46"/>
        <v>buy</v>
      </c>
      <c r="H491">
        <f t="shared" si="47"/>
        <v>0</v>
      </c>
      <c r="I491" t="str">
        <f t="shared" si="48"/>
        <v>buy</v>
      </c>
      <c r="J491">
        <f t="shared" si="44"/>
        <v>1</v>
      </c>
      <c r="K491">
        <f t="shared" si="45"/>
        <v>0</v>
      </c>
      <c r="L491">
        <f t="shared" si="49"/>
        <v>0</v>
      </c>
      <c r="M491">
        <f>IF(I491="sell",N490+(N490*E491/100),IF(I491="buy",0,M490))</f>
        <v>0</v>
      </c>
      <c r="N491">
        <f>IF(I491="buy",M490,IF(I491="sell",0,IF(AND(I491="keep",N490&lt;&gt;0),N490+(N490*E490/100),N490)))</f>
        <v>1858.1900710421544</v>
      </c>
      <c r="O491">
        <f>O490+(O490*E491/100)</f>
        <v>1804.8904054301081</v>
      </c>
    </row>
    <row r="492" spans="1:15" x14ac:dyDescent="0.25">
      <c r="A492" s="1">
        <v>45807</v>
      </c>
      <c r="B492">
        <v>-0.85014604571098595</v>
      </c>
      <c r="C492">
        <v>-0.10746601267358399</v>
      </c>
      <c r="D492">
        <v>0.45011651532011998</v>
      </c>
      <c r="E492">
        <v>-0.45324101862613803</v>
      </c>
      <c r="F492" s="3">
        <v>-3.24793033683844E-2</v>
      </c>
      <c r="G492" t="str">
        <f t="shared" si="46"/>
        <v>keep</v>
      </c>
      <c r="H492">
        <f t="shared" si="47"/>
        <v>1</v>
      </c>
      <c r="I492" t="str">
        <f t="shared" si="48"/>
        <v>keep</v>
      </c>
      <c r="J492">
        <f t="shared" si="44"/>
        <v>0</v>
      </c>
      <c r="K492">
        <f t="shared" si="45"/>
        <v>0</v>
      </c>
      <c r="L492">
        <f t="shared" si="49"/>
        <v>0</v>
      </c>
      <c r="M492">
        <f>IF(I492="sell",N491+(N491*E492/100),IF(I492="buy",0,M491))</f>
        <v>0</v>
      </c>
      <c r="N492">
        <f>IF(I492="buy",M491,IF(I492="sell",0,IF(AND(I492="keep",N491&lt;&gt;0),N491+(N491*E491/100),N491)))</f>
        <v>1872.9339766735375</v>
      </c>
      <c r="O492">
        <f>O491+(O491*E492/100)</f>
        <v>1796.7099017714513</v>
      </c>
    </row>
    <row r="493" spans="1:15" x14ac:dyDescent="0.25">
      <c r="A493" s="1">
        <v>45810</v>
      </c>
      <c r="B493">
        <v>2.48411924164302</v>
      </c>
      <c r="C493">
        <v>0.70643285044085202</v>
      </c>
      <c r="D493">
        <v>0.423197090028959</v>
      </c>
      <c r="E493">
        <v>-0.50323289426377205</v>
      </c>
      <c r="F493" s="3">
        <v>0.79072507347554799</v>
      </c>
      <c r="G493" t="str">
        <f t="shared" si="46"/>
        <v>buy</v>
      </c>
      <c r="H493">
        <f t="shared" si="47"/>
        <v>0</v>
      </c>
      <c r="I493" t="str">
        <f t="shared" si="48"/>
        <v>keep</v>
      </c>
      <c r="J493">
        <f t="shared" si="44"/>
        <v>0</v>
      </c>
      <c r="K493">
        <f t="shared" si="45"/>
        <v>0</v>
      </c>
      <c r="L493">
        <f t="shared" si="49"/>
        <v>0</v>
      </c>
      <c r="M493">
        <f>IF(I493="sell",N492+(N492*E493/100),IF(I493="buy",0,M492))</f>
        <v>0</v>
      </c>
      <c r="N493">
        <f>IF(I493="buy",M492,IF(I493="sell",0,IF(AND(I493="keep",N492&lt;&gt;0),N492+(N492*E492/100),N492)))</f>
        <v>1864.4450716394672</v>
      </c>
      <c r="O493">
        <f>O492+(O492*E493/100)</f>
        <v>1787.668266531243</v>
      </c>
    </row>
    <row r="494" spans="1:15" x14ac:dyDescent="0.25">
      <c r="A494" s="1">
        <v>45811</v>
      </c>
      <c r="B494">
        <v>-0.60523781799449705</v>
      </c>
      <c r="C494">
        <v>0.79486350867192801</v>
      </c>
      <c r="D494">
        <v>0.77838111738002203</v>
      </c>
      <c r="E494">
        <v>-1.1078975900797301</v>
      </c>
      <c r="F494" s="3">
        <v>0.19479406133274199</v>
      </c>
      <c r="G494" t="str">
        <f t="shared" si="46"/>
        <v>buy</v>
      </c>
      <c r="H494">
        <f t="shared" si="47"/>
        <v>0</v>
      </c>
      <c r="I494" t="str">
        <f t="shared" si="48"/>
        <v>keep</v>
      </c>
      <c r="J494">
        <f t="shared" si="44"/>
        <v>0</v>
      </c>
      <c r="K494">
        <f t="shared" si="45"/>
        <v>0</v>
      </c>
      <c r="L494">
        <f t="shared" si="49"/>
        <v>0</v>
      </c>
      <c r="M494">
        <f>IF(I494="sell",N493+(N493*E494/100),IF(I494="buy",0,M493))</f>
        <v>0</v>
      </c>
      <c r="N494">
        <f>IF(I494="buy",M493,IF(I494="sell",0,IF(AND(I494="keep",N493&lt;&gt;0),N493+(N493*E493/100),N493)))</f>
        <v>1855.0625707434976</v>
      </c>
      <c r="O494">
        <f>O493+(O493*E494/100)</f>
        <v>1767.8627328877233</v>
      </c>
    </row>
    <row r="495" spans="1:15" x14ac:dyDescent="0.25">
      <c r="A495" s="1">
        <v>45812</v>
      </c>
      <c r="B495">
        <v>0.69548233441931695</v>
      </c>
      <c r="C495">
        <v>0.27392786794553298</v>
      </c>
      <c r="D495">
        <v>-0.221371113762691</v>
      </c>
      <c r="E495">
        <v>-1.26644042954642</v>
      </c>
      <c r="F495" s="3">
        <v>0.223195554101625</v>
      </c>
      <c r="G495" t="str">
        <f t="shared" si="46"/>
        <v>buy</v>
      </c>
      <c r="H495">
        <f t="shared" si="47"/>
        <v>1</v>
      </c>
      <c r="I495" t="str">
        <f t="shared" si="48"/>
        <v>keep</v>
      </c>
      <c r="J495">
        <f t="shared" si="44"/>
        <v>0</v>
      </c>
      <c r="K495">
        <f t="shared" si="45"/>
        <v>0</v>
      </c>
      <c r="L495">
        <f t="shared" si="49"/>
        <v>0</v>
      </c>
      <c r="M495">
        <f>IF(I495="sell",N494+(N494*E495/100),IF(I495="buy",0,M494))</f>
        <v>0</v>
      </c>
      <c r="N495">
        <f>IF(I495="buy",M494,IF(I495="sell",0,IF(AND(I495="keep",N494&lt;&gt;0),N494+(N494*E494/100),N494)))</f>
        <v>1834.5103772277594</v>
      </c>
      <c r="O495">
        <f>O494+(O494*E495/100)</f>
        <v>1745.4738044995488</v>
      </c>
    </row>
    <row r="496" spans="1:15" x14ac:dyDescent="0.25">
      <c r="A496" s="1">
        <v>45813</v>
      </c>
      <c r="B496">
        <v>-0.67585738337408996</v>
      </c>
      <c r="C496">
        <v>-0.80329103045482197</v>
      </c>
      <c r="D496">
        <v>-1.07977285430749</v>
      </c>
      <c r="E496">
        <v>1.13467951180157</v>
      </c>
      <c r="F496" s="3">
        <v>-0.349699957382826</v>
      </c>
      <c r="G496" t="str">
        <f t="shared" si="46"/>
        <v>sell</v>
      </c>
      <c r="H496">
        <f t="shared" si="47"/>
        <v>0</v>
      </c>
      <c r="I496" t="str">
        <f t="shared" si="48"/>
        <v>sell</v>
      </c>
      <c r="J496">
        <f t="shared" si="44"/>
        <v>0</v>
      </c>
      <c r="K496">
        <f t="shared" si="45"/>
        <v>1</v>
      </c>
      <c r="L496">
        <f t="shared" si="49"/>
        <v>0</v>
      </c>
      <c r="M496">
        <f>IF(I496="sell",N495+(N495*E496/100),IF(I496="buy",0,M495))</f>
        <v>1855.3261906200364</v>
      </c>
      <c r="N496">
        <f>IF(I496="buy",M495,IF(I496="sell",0,IF(AND(I496="keep",N495&lt;&gt;0),N495+(N495*E495/100),N495)))</f>
        <v>0</v>
      </c>
      <c r="O496">
        <f>O495+(O495*E496/100)</f>
        <v>1765.2793381430686</v>
      </c>
    </row>
    <row r="497" spans="1:15" x14ac:dyDescent="0.25">
      <c r="A497" s="1">
        <v>45814</v>
      </c>
      <c r="B497">
        <v>-0.835646295043734</v>
      </c>
      <c r="C497">
        <v>0.994825731462323</v>
      </c>
      <c r="D497">
        <v>1.63982341406785</v>
      </c>
      <c r="E497">
        <v>0.34146192597179698</v>
      </c>
      <c r="F497" s="3">
        <v>0.31750975409118498</v>
      </c>
      <c r="G497" t="str">
        <f t="shared" si="46"/>
        <v>buy</v>
      </c>
      <c r="H497">
        <f t="shared" si="47"/>
        <v>1</v>
      </c>
      <c r="I497" t="str">
        <f t="shared" si="48"/>
        <v>buy</v>
      </c>
      <c r="J497">
        <f t="shared" si="44"/>
        <v>1</v>
      </c>
      <c r="K497">
        <f t="shared" si="45"/>
        <v>0</v>
      </c>
      <c r="L497">
        <f t="shared" si="49"/>
        <v>1</v>
      </c>
      <c r="M497">
        <f>IF(I497="sell",N496+(N496*E497/100),IF(I497="buy",0,M496))</f>
        <v>0</v>
      </c>
      <c r="N497">
        <f>IF(I497="buy",M496,IF(I497="sell",0,IF(AND(I497="keep",N496&lt;&gt;0),N496+(N496*E496/100),N496)))</f>
        <v>1855.3261906200364</v>
      </c>
      <c r="O497">
        <f>O496+(O496*E497/100)</f>
        <v>1771.307094969874</v>
      </c>
    </row>
    <row r="498" spans="1:15" x14ac:dyDescent="0.25">
      <c r="A498" s="1">
        <v>45817</v>
      </c>
      <c r="B498">
        <v>0.28290687159577799</v>
      </c>
      <c r="C498">
        <v>0.16579555119009501</v>
      </c>
      <c r="D498">
        <v>-1.2112531599562999</v>
      </c>
      <c r="E498">
        <v>0.87506226468769799</v>
      </c>
      <c r="F498" s="3">
        <v>-4.3668565557831003E-2</v>
      </c>
      <c r="G498" t="str">
        <f t="shared" si="46"/>
        <v>keep</v>
      </c>
      <c r="H498">
        <f t="shared" si="47"/>
        <v>0</v>
      </c>
      <c r="I498" t="str">
        <f t="shared" si="48"/>
        <v>keep</v>
      </c>
      <c r="J498">
        <f t="shared" si="44"/>
        <v>0</v>
      </c>
      <c r="K498">
        <f t="shared" si="45"/>
        <v>0</v>
      </c>
      <c r="L498">
        <f t="shared" si="49"/>
        <v>0</v>
      </c>
      <c r="M498">
        <f>IF(I498="sell",N497+(N497*E498/100),IF(I498="buy",0,M497))</f>
        <v>0</v>
      </c>
      <c r="N498">
        <f>IF(I498="buy",M497,IF(I498="sell",0,IF(AND(I498="keep",N497&lt;&gt;0),N497+(N497*E497/100),N497)))</f>
        <v>1861.6614231635867</v>
      </c>
      <c r="O498">
        <f>O497+(O497*E498/100)</f>
        <v>1786.8071349496913</v>
      </c>
    </row>
    <row r="499" spans="1:15" x14ac:dyDescent="0.25">
      <c r="A499" s="1">
        <v>45818</v>
      </c>
      <c r="B499">
        <v>-0.33613021770798601</v>
      </c>
      <c r="C499">
        <v>0.66084799537369199</v>
      </c>
      <c r="D499">
        <v>0.60560219029350804</v>
      </c>
      <c r="E499">
        <v>1.5662687370576001</v>
      </c>
      <c r="F499" s="3">
        <v>0.206771819074659</v>
      </c>
      <c r="G499" t="str">
        <f t="shared" si="46"/>
        <v>buy</v>
      </c>
      <c r="H499">
        <f t="shared" si="47"/>
        <v>0</v>
      </c>
      <c r="I499" t="str">
        <f t="shared" si="48"/>
        <v>keep</v>
      </c>
      <c r="J499">
        <f t="shared" si="44"/>
        <v>0</v>
      </c>
      <c r="K499">
        <f t="shared" si="45"/>
        <v>0</v>
      </c>
      <c r="L499">
        <f t="shared" si="49"/>
        <v>0</v>
      </c>
      <c r="M499">
        <f>IF(I499="sell",N498+(N498*E499/100),IF(I499="buy",0,M498))</f>
        <v>0</v>
      </c>
      <c r="N499">
        <f>IF(I499="buy",M498,IF(I499="sell",0,IF(AND(I499="keep",N498&lt;&gt;0),N498+(N498*E498/100),N498)))</f>
        <v>1877.9521197739393</v>
      </c>
      <c r="O499">
        <f>O498+(O498*E499/100)</f>
        <v>1814.7933364959229</v>
      </c>
    </row>
    <row r="500" spans="1:15" x14ac:dyDescent="0.25">
      <c r="A500" s="1">
        <v>45819</v>
      </c>
      <c r="B500">
        <v>1.2049338918429501E-2</v>
      </c>
      <c r="C500">
        <v>-0.36969937413784398</v>
      </c>
      <c r="D500">
        <v>-1.9193731833691401</v>
      </c>
      <c r="E500">
        <v>-0.45077683162026899</v>
      </c>
      <c r="F500" s="3">
        <v>-0.28436142368144002</v>
      </c>
      <c r="G500" t="str">
        <f t="shared" si="46"/>
        <v>sell</v>
      </c>
      <c r="H500">
        <f t="shared" si="47"/>
        <v>1</v>
      </c>
      <c r="I500" t="str">
        <f t="shared" si="48"/>
        <v>sell</v>
      </c>
      <c r="J500">
        <f t="shared" si="44"/>
        <v>0</v>
      </c>
      <c r="K500">
        <f t="shared" si="45"/>
        <v>1</v>
      </c>
      <c r="L500">
        <f t="shared" si="49"/>
        <v>1</v>
      </c>
      <c r="M500">
        <f>IF(I500="sell",N499+(N499*E500/100),IF(I500="buy",0,M499))</f>
        <v>1869.4867467090767</v>
      </c>
      <c r="N500">
        <f>IF(I500="buy",M499,IF(I500="sell",0,IF(AND(I500="keep",N499&lt;&gt;0),N499+(N499*E499/100),N499)))</f>
        <v>0</v>
      </c>
      <c r="O500">
        <f>O499+(O499*E500/100)</f>
        <v>1806.6126685932109</v>
      </c>
    </row>
    <row r="501" spans="1:15" x14ac:dyDescent="0.25">
      <c r="A501" s="1">
        <v>45820</v>
      </c>
      <c r="B501">
        <v>1.79447362898315</v>
      </c>
      <c r="C501">
        <v>0.24024523060950301</v>
      </c>
      <c r="D501">
        <v>0.21128663073401999</v>
      </c>
      <c r="E501">
        <v>-0.71496483223604201</v>
      </c>
      <c r="F501" s="3">
        <v>0.52997288466009795</v>
      </c>
      <c r="G501" t="str">
        <f t="shared" si="46"/>
        <v>buy</v>
      </c>
      <c r="H501">
        <f t="shared" si="47"/>
        <v>0</v>
      </c>
      <c r="I501" t="str">
        <f t="shared" si="48"/>
        <v>buy</v>
      </c>
      <c r="J501">
        <f t="shared" si="44"/>
        <v>1</v>
      </c>
      <c r="K501">
        <f t="shared" si="45"/>
        <v>0</v>
      </c>
      <c r="L501">
        <f t="shared" si="49"/>
        <v>0</v>
      </c>
      <c r="M501">
        <f>IF(I501="sell",N500+(N500*E501/100),IF(I501="buy",0,M500))</f>
        <v>0</v>
      </c>
      <c r="N501">
        <f>IF(I501="buy",M500,IF(I501="sell",0,IF(AND(I501="keep",N500&lt;&gt;0),N500+(N500*E500/100),N500)))</f>
        <v>1869.4867467090767</v>
      </c>
      <c r="O501">
        <f>O500+(O500*E501/100)</f>
        <v>1793.6960233580483</v>
      </c>
    </row>
    <row r="502" spans="1:15" x14ac:dyDescent="0.25">
      <c r="A502" s="1">
        <v>45821</v>
      </c>
      <c r="B502">
        <v>1.4877710160320099</v>
      </c>
      <c r="C502">
        <v>-1.28817197017367</v>
      </c>
      <c r="D502">
        <v>-1.38051941980801</v>
      </c>
      <c r="E502">
        <v>-0.57609620582297305</v>
      </c>
      <c r="F502" s="3">
        <v>-1.19572448767274E-2</v>
      </c>
      <c r="G502" t="str">
        <f t="shared" si="46"/>
        <v>keep</v>
      </c>
      <c r="H502">
        <f t="shared" si="47"/>
        <v>0</v>
      </c>
      <c r="I502" t="str">
        <f t="shared" si="48"/>
        <v>keep</v>
      </c>
      <c r="J502">
        <f t="shared" si="44"/>
        <v>0</v>
      </c>
      <c r="K502">
        <f t="shared" si="45"/>
        <v>0</v>
      </c>
      <c r="L502">
        <f t="shared" si="49"/>
        <v>0</v>
      </c>
      <c r="M502">
        <f>IF(I502="sell",N501+(N501*E502/100),IF(I502="buy",0,M501))</f>
        <v>0</v>
      </c>
      <c r="N502">
        <f>IF(I502="buy",M501,IF(I502="sell",0,IF(AND(I502="keep",N501&lt;&gt;0),N501+(N501*E501/100),N501)))</f>
        <v>1856.120573926793</v>
      </c>
      <c r="O502">
        <f>O501+(O501*E502/100)</f>
        <v>1783.3626086234849</v>
      </c>
    </row>
    <row r="503" spans="1:15" x14ac:dyDescent="0.25">
      <c r="A503" s="1">
        <v>45824</v>
      </c>
      <c r="B503">
        <v>-1.0142238669664101</v>
      </c>
      <c r="C503">
        <v>1.4170898083736001</v>
      </c>
      <c r="D503">
        <v>1.00280225768472</v>
      </c>
      <c r="E503">
        <v>1.3037202786073601</v>
      </c>
      <c r="F503" s="3">
        <v>0.225232683959258</v>
      </c>
      <c r="G503" t="str">
        <f t="shared" si="46"/>
        <v>buy</v>
      </c>
      <c r="H503">
        <f t="shared" si="47"/>
        <v>0</v>
      </c>
      <c r="I503" t="str">
        <f t="shared" si="48"/>
        <v>keep</v>
      </c>
      <c r="J503">
        <f t="shared" si="44"/>
        <v>0</v>
      </c>
      <c r="K503">
        <f t="shared" si="45"/>
        <v>0</v>
      </c>
      <c r="L503">
        <f t="shared" si="49"/>
        <v>0</v>
      </c>
      <c r="M503">
        <f>IF(I503="sell",N502+(N502*E503/100),IF(I503="buy",0,M502))</f>
        <v>0</v>
      </c>
      <c r="N503">
        <f>IF(I503="buy",M502,IF(I503="sell",0,IF(AND(I503="keep",N502&lt;&gt;0),N502+(N502*E502/100),N502)))</f>
        <v>1845.4275337249012</v>
      </c>
      <c r="O503">
        <f>O502+(O502*E503/100)</f>
        <v>1806.6126685932104</v>
      </c>
    </row>
    <row r="504" spans="1:15" x14ac:dyDescent="0.25">
      <c r="A504" s="1">
        <v>45825</v>
      </c>
      <c r="B504">
        <v>-0.28853506563634101</v>
      </c>
      <c r="C504">
        <v>-0.99596368815056902</v>
      </c>
      <c r="D504">
        <v>-1.4010737856372799</v>
      </c>
      <c r="E504">
        <v>-1.0724517939896101</v>
      </c>
      <c r="F504" s="3">
        <v>-0.34175989737427998</v>
      </c>
      <c r="G504" t="str">
        <f t="shared" si="46"/>
        <v>sell</v>
      </c>
      <c r="H504">
        <f t="shared" si="47"/>
        <v>1</v>
      </c>
      <c r="I504" t="str">
        <f t="shared" si="48"/>
        <v>sell</v>
      </c>
      <c r="J504">
        <f t="shared" si="44"/>
        <v>0</v>
      </c>
      <c r="K504">
        <f t="shared" si="45"/>
        <v>1</v>
      </c>
      <c r="L504">
        <f t="shared" si="49"/>
        <v>1</v>
      </c>
      <c r="M504">
        <f>IF(I504="sell",N503+(N503*E504/100),IF(I504="buy",0,M503))</f>
        <v>1825.6362130326902</v>
      </c>
      <c r="N504">
        <f>IF(I504="buy",M503,IF(I504="sell",0,IF(AND(I504="keep",N503&lt;&gt;0),N503+(N503*E503/100),N503)))</f>
        <v>0</v>
      </c>
      <c r="O504">
        <f>O503+(O503*E504/100)</f>
        <v>1787.237618618439</v>
      </c>
    </row>
    <row r="505" spans="1:15" x14ac:dyDescent="0.25">
      <c r="A505" s="1">
        <v>45826</v>
      </c>
      <c r="B505">
        <v>9.4488604488307495E-2</v>
      </c>
      <c r="C505">
        <v>2.8057127549052001E-3</v>
      </c>
      <c r="D505">
        <v>0.48047113902236399</v>
      </c>
      <c r="E505">
        <v>-0.67453334285400002</v>
      </c>
      <c r="F505" s="3">
        <v>0.185671313317191</v>
      </c>
      <c r="G505" t="str">
        <f t="shared" si="46"/>
        <v>buy</v>
      </c>
      <c r="H505">
        <f t="shared" si="47"/>
        <v>0</v>
      </c>
      <c r="I505" t="str">
        <f t="shared" si="48"/>
        <v>buy</v>
      </c>
      <c r="J505">
        <f t="shared" si="44"/>
        <v>1</v>
      </c>
      <c r="K505">
        <f t="shared" si="45"/>
        <v>0</v>
      </c>
      <c r="L505">
        <f t="shared" si="49"/>
        <v>0</v>
      </c>
      <c r="M505">
        <f>IF(I505="sell",N504+(N504*E505/100),IF(I505="buy",0,M504))</f>
        <v>0</v>
      </c>
      <c r="N505">
        <f>IF(I505="buy",M504,IF(I505="sell",0,IF(AND(I505="keep",N504&lt;&gt;0),N504+(N504*E504/100),N504)))</f>
        <v>1825.6362130326902</v>
      </c>
      <c r="O505">
        <f>O504+(O504*E505/100)</f>
        <v>1775.1821049648279</v>
      </c>
    </row>
    <row r="506" spans="1:15" x14ac:dyDescent="0.25">
      <c r="A506" s="1">
        <v>45831</v>
      </c>
      <c r="B506">
        <v>0.28502280921831602</v>
      </c>
      <c r="C506">
        <v>1.06323545667945</v>
      </c>
      <c r="D506">
        <v>0.24876265304227799</v>
      </c>
      <c r="E506">
        <v>-0.71446394293460602</v>
      </c>
      <c r="F506" s="3">
        <v>0.31877210603193401</v>
      </c>
      <c r="G506" t="str">
        <f t="shared" si="46"/>
        <v>buy</v>
      </c>
      <c r="H506">
        <f t="shared" si="47"/>
        <v>1</v>
      </c>
      <c r="I506" t="str">
        <f t="shared" si="48"/>
        <v>keep</v>
      </c>
      <c r="J506">
        <f t="shared" si="44"/>
        <v>0</v>
      </c>
      <c r="K506">
        <f t="shared" si="45"/>
        <v>0</v>
      </c>
      <c r="L506">
        <f t="shared" si="49"/>
        <v>0</v>
      </c>
      <c r="M506">
        <f>IF(I506="sell",N505+(N505*E506/100),IF(I506="buy",0,M505))</f>
        <v>0</v>
      </c>
      <c r="N506">
        <f>IF(I506="buy",M505,IF(I506="sell",0,IF(AND(I506="keep",N505&lt;&gt;0),N505+(N505*E505/100),N505)))</f>
        <v>1813.3216880565676</v>
      </c>
      <c r="O506">
        <f>O505+(O505*E506/100)</f>
        <v>1762.4990689034266</v>
      </c>
    </row>
    <row r="507" spans="1:15" x14ac:dyDescent="0.25">
      <c r="A507" s="1">
        <v>45832</v>
      </c>
      <c r="B507">
        <v>-1.7852399472962099</v>
      </c>
      <c r="C507">
        <v>1.5290282125610599</v>
      </c>
      <c r="D507">
        <v>-0.59553368706062304</v>
      </c>
      <c r="E507">
        <v>0.54590874657092203</v>
      </c>
      <c r="F507" s="3">
        <v>-0.206919866531667</v>
      </c>
      <c r="G507" t="str">
        <f t="shared" si="46"/>
        <v>sell</v>
      </c>
      <c r="H507">
        <f t="shared" si="47"/>
        <v>1</v>
      </c>
      <c r="I507" t="str">
        <f t="shared" si="48"/>
        <v>sell</v>
      </c>
      <c r="J507">
        <f t="shared" si="44"/>
        <v>0</v>
      </c>
      <c r="K507">
        <f t="shared" si="45"/>
        <v>1</v>
      </c>
      <c r="L507">
        <f t="shared" si="49"/>
        <v>1</v>
      </c>
      <c r="M507">
        <f>IF(I507="sell",N506+(N506*E507/100),IF(I507="buy",0,M506))</f>
        <v>1823.220769755136</v>
      </c>
      <c r="N507">
        <f>IF(I507="buy",M506,IF(I507="sell",0,IF(AND(I507="keep",N506&lt;&gt;0),N506+(N506*E506/100),N506)))</f>
        <v>0</v>
      </c>
      <c r="O507">
        <f>O506+(O506*E507/100)</f>
        <v>1772.1207054788015</v>
      </c>
    </row>
    <row r="508" spans="1:15" x14ac:dyDescent="0.25">
      <c r="A508" s="1">
        <v>45833</v>
      </c>
      <c r="B508">
        <v>0.29240355694371001</v>
      </c>
      <c r="C508">
        <v>0.212796744386722</v>
      </c>
      <c r="D508">
        <v>0.62905737887006796</v>
      </c>
      <c r="E508">
        <v>-1.1599240261436601</v>
      </c>
      <c r="F508" s="3">
        <v>0.27803719533485299</v>
      </c>
      <c r="G508" t="str">
        <f t="shared" si="46"/>
        <v>buy</v>
      </c>
      <c r="H508">
        <f t="shared" si="47"/>
        <v>1</v>
      </c>
      <c r="I508" t="str">
        <f t="shared" si="48"/>
        <v>buy</v>
      </c>
      <c r="J508">
        <f t="shared" si="44"/>
        <v>1</v>
      </c>
      <c r="K508">
        <f t="shared" si="45"/>
        <v>0</v>
      </c>
      <c r="L508">
        <f t="shared" si="49"/>
        <v>1</v>
      </c>
      <c r="M508">
        <f>IF(I508="sell",N507+(N507*E508/100),IF(I508="buy",0,M507))</f>
        <v>0</v>
      </c>
      <c r="N508">
        <f>IF(I508="buy",M507,IF(I508="sell",0,IF(AND(I508="keep",N507&lt;&gt;0),N507+(N507*E507/100),N507)))</f>
        <v>1823.220769755136</v>
      </c>
      <c r="O508">
        <f>O507+(O507*E508/100)</f>
        <v>1751.5654516436864</v>
      </c>
    </row>
    <row r="509" spans="1:15" x14ac:dyDescent="0.25">
      <c r="A509" s="1">
        <v>45834</v>
      </c>
      <c r="B509">
        <v>0.19235677184039601</v>
      </c>
      <c r="C509">
        <v>0.94231170036369605</v>
      </c>
      <c r="D509">
        <v>-0.277840069599599</v>
      </c>
      <c r="E509">
        <v>0.449438972795834</v>
      </c>
      <c r="F509" s="3">
        <v>0.189433554358615</v>
      </c>
      <c r="G509" t="str">
        <f t="shared" si="46"/>
        <v>buy</v>
      </c>
      <c r="H509">
        <f t="shared" si="47"/>
        <v>0</v>
      </c>
      <c r="I509" t="str">
        <f t="shared" si="48"/>
        <v>keep</v>
      </c>
      <c r="J509">
        <f t="shared" si="44"/>
        <v>0</v>
      </c>
      <c r="K509">
        <f t="shared" si="45"/>
        <v>0</v>
      </c>
      <c r="L509">
        <f t="shared" si="49"/>
        <v>0</v>
      </c>
      <c r="M509">
        <f>IF(I509="sell",N508+(N508*E509/100),IF(I509="buy",0,M508))</f>
        <v>0</v>
      </c>
      <c r="N509">
        <f>IF(I509="buy",M508,IF(I509="sell",0,IF(AND(I509="keep",N508&lt;&gt;0),N508+(N508*E508/100),N508)))</f>
        <v>1802.0727939971048</v>
      </c>
      <c r="O509">
        <f>O508+(O508*E509/100)</f>
        <v>1759.4376694174005</v>
      </c>
    </row>
    <row r="510" spans="1:15" x14ac:dyDescent="0.25">
      <c r="A510" s="1">
        <v>45835</v>
      </c>
      <c r="B510">
        <v>-1.79391176925528</v>
      </c>
      <c r="C510">
        <v>0.38717439779929402</v>
      </c>
      <c r="D510">
        <v>3.9802024486767999E-2</v>
      </c>
      <c r="E510">
        <v>-9.9430564212033001E-2</v>
      </c>
      <c r="F510" s="3">
        <v>-0.25656154950466098</v>
      </c>
      <c r="G510" t="str">
        <f t="shared" si="46"/>
        <v>sell</v>
      </c>
      <c r="H510">
        <f t="shared" si="47"/>
        <v>0</v>
      </c>
      <c r="I510" t="str">
        <f t="shared" si="48"/>
        <v>sell</v>
      </c>
      <c r="J510">
        <f t="shared" si="44"/>
        <v>0</v>
      </c>
      <c r="K510">
        <f t="shared" si="45"/>
        <v>1</v>
      </c>
      <c r="L510">
        <f t="shared" si="49"/>
        <v>0</v>
      </c>
      <c r="M510">
        <f>IF(I510="sell",N509+(N509*E510/100),IF(I510="buy",0,M509))</f>
        <v>1800.2809828505219</v>
      </c>
      <c r="N510">
        <f>IF(I510="buy",M509,IF(I510="sell",0,IF(AND(I510="keep",N509&lt;&gt;0),N509+(N509*E509/100),N509)))</f>
        <v>0</v>
      </c>
      <c r="O510">
        <f>O509+(O509*E510/100)</f>
        <v>1757.6882506157397</v>
      </c>
    </row>
    <row r="511" spans="1:15" x14ac:dyDescent="0.25">
      <c r="A511" s="1">
        <v>45838</v>
      </c>
      <c r="B511">
        <v>0.63231058070747304</v>
      </c>
      <c r="C511">
        <v>0.64262566186290504</v>
      </c>
      <c r="D511">
        <v>2.0340156705265402</v>
      </c>
      <c r="E511">
        <v>0.94551152301531805</v>
      </c>
      <c r="F511" s="3">
        <v>0.64693266513175096</v>
      </c>
      <c r="G511" t="str">
        <f t="shared" si="46"/>
        <v>buy</v>
      </c>
      <c r="H511">
        <f t="shared" si="47"/>
        <v>0</v>
      </c>
      <c r="I511" t="str">
        <f t="shared" si="48"/>
        <v>buy</v>
      </c>
      <c r="J511">
        <f t="shared" si="44"/>
        <v>1</v>
      </c>
      <c r="K511">
        <f t="shared" si="45"/>
        <v>0</v>
      </c>
      <c r="L511">
        <f t="shared" si="49"/>
        <v>0</v>
      </c>
      <c r="M511">
        <f>IF(I511="sell",N510+(N510*E511/100),IF(I511="buy",0,M510))</f>
        <v>0</v>
      </c>
      <c r="N511">
        <f>IF(I511="buy",M510,IF(I511="sell",0,IF(AND(I511="keep",N510&lt;&gt;0),N510+(N510*E510/100),N510)))</f>
        <v>1800.2809828505219</v>
      </c>
      <c r="O511">
        <f>O510+(O510*E511/100)</f>
        <v>1774.3073955639979</v>
      </c>
    </row>
    <row r="512" spans="1:15" x14ac:dyDescent="0.25">
      <c r="A512" s="1">
        <v>45839</v>
      </c>
      <c r="B512">
        <v>1.28399860618109</v>
      </c>
      <c r="C512">
        <v>-0.885748135945851</v>
      </c>
      <c r="D512">
        <v>1.2916154255427399</v>
      </c>
      <c r="E512">
        <v>-0.22183917491962399</v>
      </c>
      <c r="F512" s="3">
        <v>0.463097317497146</v>
      </c>
      <c r="G512" t="str">
        <f t="shared" si="46"/>
        <v>buy</v>
      </c>
      <c r="H512">
        <f t="shared" si="47"/>
        <v>0</v>
      </c>
      <c r="I512" t="str">
        <f t="shared" si="48"/>
        <v>keep</v>
      </c>
      <c r="J512">
        <f t="shared" ref="J512:J575" si="50">IF(I512="buy",1,0)</f>
        <v>0</v>
      </c>
      <c r="K512">
        <f t="shared" ref="K512:K575" si="51">IF(I512="sell",1,0)</f>
        <v>0</v>
      </c>
      <c r="L512">
        <f t="shared" si="49"/>
        <v>0</v>
      </c>
      <c r="M512">
        <f>IF(I512="sell",N511+(N511*E512/100),IF(I512="buy",0,M511))</f>
        <v>0</v>
      </c>
      <c r="N512">
        <f>IF(I512="buy",M511,IF(I512="sell",0,IF(AND(I512="keep",N511&lt;&gt;0),N511+(N511*E511/100),N511)))</f>
        <v>1817.3028469900271</v>
      </c>
      <c r="O512">
        <f>O511+(O511*E512/100)</f>
        <v>1770.3712866771409</v>
      </c>
    </row>
    <row r="513" spans="1:15" x14ac:dyDescent="0.25">
      <c r="A513" s="1">
        <v>45840</v>
      </c>
      <c r="B513">
        <v>0.33865942378654701</v>
      </c>
      <c r="C513">
        <v>0.728529283193046</v>
      </c>
      <c r="D513">
        <v>2.2230762139012299</v>
      </c>
      <c r="E513">
        <v>-0.93873782710581699</v>
      </c>
      <c r="F513" s="3">
        <v>0.61327787422278901</v>
      </c>
      <c r="G513" t="str">
        <f t="shared" si="46"/>
        <v>buy</v>
      </c>
      <c r="H513">
        <f t="shared" si="47"/>
        <v>0</v>
      </c>
      <c r="I513" t="str">
        <f t="shared" si="48"/>
        <v>keep</v>
      </c>
      <c r="J513">
        <f t="shared" si="50"/>
        <v>0</v>
      </c>
      <c r="K513">
        <f t="shared" si="51"/>
        <v>0</v>
      </c>
      <c r="L513">
        <f t="shared" si="49"/>
        <v>0</v>
      </c>
      <c r="M513">
        <f>IF(I513="sell",N512+(N512*E513/100),IF(I513="buy",0,M512))</f>
        <v>0</v>
      </c>
      <c r="N513">
        <f>IF(I513="buy",M512,IF(I513="sell",0,IF(AND(I513="keep",N512&lt;&gt;0),N512+(N512*E512/100),N512)))</f>
        <v>1813.2713573484737</v>
      </c>
      <c r="O513">
        <f>O512+(O512*E513/100)</f>
        <v>1753.7521417288826</v>
      </c>
    </row>
    <row r="514" spans="1:15" x14ac:dyDescent="0.25">
      <c r="A514" s="1">
        <v>45841</v>
      </c>
      <c r="B514">
        <v>-0.489841766539722</v>
      </c>
      <c r="C514">
        <v>0.99408694199978298</v>
      </c>
      <c r="D514">
        <v>0.52250677434895199</v>
      </c>
      <c r="E514">
        <v>-0.29924921808216398</v>
      </c>
      <c r="F514" s="3">
        <v>0.19055350718513001</v>
      </c>
      <c r="G514" t="str">
        <f t="shared" si="46"/>
        <v>buy</v>
      </c>
      <c r="H514">
        <f t="shared" si="47"/>
        <v>0</v>
      </c>
      <c r="I514" t="str">
        <f t="shared" si="48"/>
        <v>keep</v>
      </c>
      <c r="J514">
        <f t="shared" si="50"/>
        <v>0</v>
      </c>
      <c r="K514">
        <f t="shared" si="51"/>
        <v>0</v>
      </c>
      <c r="L514">
        <f t="shared" si="49"/>
        <v>0</v>
      </c>
      <c r="M514">
        <f>IF(I514="sell",N513+(N513*E514/100),IF(I514="buy",0,M513))</f>
        <v>0</v>
      </c>
      <c r="N514">
        <f>IF(I514="buy",M513,IF(I514="sell",0,IF(AND(I514="keep",N513&lt;&gt;0),N513+(N513*E513/100),N513)))</f>
        <v>1796.2494932089685</v>
      </c>
      <c r="O514">
        <f>O513+(O513*E514/100)</f>
        <v>1748.5040521576598</v>
      </c>
    </row>
    <row r="515" spans="1:15" x14ac:dyDescent="0.25">
      <c r="A515" s="1">
        <v>45846</v>
      </c>
      <c r="B515">
        <v>-0.75625567316308595</v>
      </c>
      <c r="C515">
        <v>7.3525537468244195E-2</v>
      </c>
      <c r="D515">
        <v>2.8578971805215399E-2</v>
      </c>
      <c r="E515">
        <v>-0.199257354954573</v>
      </c>
      <c r="F515" s="3">
        <v>-6.7656262562336797E-2</v>
      </c>
      <c r="G515" t="str">
        <f t="shared" ref="G515:G578" si="52">IF(F515&gt;$R$2,"buy",IF(F515&lt;-$R$3,"sell","keep"))</f>
        <v>keep</v>
      </c>
      <c r="H515">
        <f t="shared" ref="H515:H578" si="53">IF(F515&lt;&gt;"",IF(OR(AND(F515&lt;0,E516&lt;0),AND(F515&gt;0,E516&gt;0)),1,0),"")</f>
        <v>0</v>
      </c>
      <c r="I515" t="str">
        <f t="shared" ref="I515:I578" si="54">IF(AND(G515="sell",N514&lt;&gt;0),"sell",IF(AND(G515="buy",M514&lt;&gt;0),"buy","keep"))</f>
        <v>keep</v>
      </c>
      <c r="J515">
        <f t="shared" si="50"/>
        <v>0</v>
      </c>
      <c r="K515">
        <f t="shared" si="51"/>
        <v>0</v>
      </c>
      <c r="L515">
        <f t="shared" ref="L515:L578" si="55">IF(AND(H515=1,OR(J515=1,K515=1)),1,0)</f>
        <v>0</v>
      </c>
      <c r="M515">
        <f>IF(I515="sell",N514+(N514*E515/100),IF(I515="buy",0,M514))</f>
        <v>0</v>
      </c>
      <c r="N515">
        <f>IF(I515="buy",M514,IF(I515="sell",0,IF(AND(I515="keep",N514&lt;&gt;0),N514+(N514*E514/100),N514)))</f>
        <v>1790.8742306457359</v>
      </c>
      <c r="O515">
        <f>O514+(O514*E515/100)</f>
        <v>1745.0200292320569</v>
      </c>
    </row>
    <row r="516" spans="1:15" x14ac:dyDescent="0.25">
      <c r="A516" s="1">
        <v>45847</v>
      </c>
      <c r="B516">
        <v>0.13910183417751201</v>
      </c>
      <c r="C516">
        <v>0.716493546895136</v>
      </c>
      <c r="D516">
        <v>0.53806896151016304</v>
      </c>
      <c r="E516">
        <v>0.49912843639299198</v>
      </c>
      <c r="F516" s="3">
        <v>0.28742736164182803</v>
      </c>
      <c r="G516" t="str">
        <f t="shared" si="52"/>
        <v>buy</v>
      </c>
      <c r="H516">
        <f t="shared" si="53"/>
        <v>0</v>
      </c>
      <c r="I516" t="str">
        <f t="shared" si="54"/>
        <v>keep</v>
      </c>
      <c r="J516">
        <f t="shared" si="50"/>
        <v>0</v>
      </c>
      <c r="K516">
        <f t="shared" si="51"/>
        <v>0</v>
      </c>
      <c r="L516">
        <f t="shared" si="55"/>
        <v>0</v>
      </c>
      <c r="M516">
        <f>IF(I516="sell",N515+(N515*E516/100),IF(I516="buy",0,M515))</f>
        <v>0</v>
      </c>
      <c r="N516">
        <f>IF(I516="buy",M515,IF(I516="sell",0,IF(AND(I516="keep",N515&lt;&gt;0),N515+(N515*E515/100),N515)))</f>
        <v>1787.3057820231882</v>
      </c>
      <c r="O516">
        <f>O515+(O515*E516/100)</f>
        <v>1753.7299204187075</v>
      </c>
    </row>
    <row r="517" spans="1:15" x14ac:dyDescent="0.25">
      <c r="A517" s="1">
        <v>45848</v>
      </c>
      <c r="B517">
        <v>0.17513602235985601</v>
      </c>
      <c r="C517">
        <v>-0.155917475211486</v>
      </c>
      <c r="D517">
        <v>0.60149770437114503</v>
      </c>
      <c r="E517">
        <v>-4.96658990223997E-2</v>
      </c>
      <c r="F517" s="3">
        <v>0.191123683713428</v>
      </c>
      <c r="G517" t="str">
        <f t="shared" si="52"/>
        <v>buy</v>
      </c>
      <c r="H517">
        <f t="shared" si="53"/>
        <v>0</v>
      </c>
      <c r="I517" t="str">
        <f t="shared" si="54"/>
        <v>keep</v>
      </c>
      <c r="J517">
        <f t="shared" si="50"/>
        <v>0</v>
      </c>
      <c r="K517">
        <f t="shared" si="51"/>
        <v>0</v>
      </c>
      <c r="L517">
        <f t="shared" si="55"/>
        <v>0</v>
      </c>
      <c r="M517">
        <f>IF(I517="sell",N516+(N516*E517/100),IF(I517="buy",0,M516))</f>
        <v>0</v>
      </c>
      <c r="N517">
        <f>IF(I517="buy",M516,IF(I517="sell",0,IF(AND(I517="keep",N516&lt;&gt;0),N516+(N516*E516/100),N516)))</f>
        <v>1796.2267334265621</v>
      </c>
      <c r="O517">
        <f>O516+(O516*E517/100)</f>
        <v>1752.8589146873067</v>
      </c>
    </row>
    <row r="518" spans="1:15" x14ac:dyDescent="0.25">
      <c r="A518" s="1">
        <v>45849</v>
      </c>
      <c r="B518">
        <v>1.1635648035372299</v>
      </c>
      <c r="C518">
        <v>-0.21314819993974901</v>
      </c>
      <c r="D518">
        <v>-0.588485345636513</v>
      </c>
      <c r="E518">
        <v>-1.0683237395671501</v>
      </c>
      <c r="F518" s="3">
        <v>0.18973464047348401</v>
      </c>
      <c r="G518" t="str">
        <f t="shared" si="52"/>
        <v>buy</v>
      </c>
      <c r="H518">
        <f t="shared" si="53"/>
        <v>1</v>
      </c>
      <c r="I518" t="str">
        <f t="shared" si="54"/>
        <v>keep</v>
      </c>
      <c r="J518">
        <f t="shared" si="50"/>
        <v>0</v>
      </c>
      <c r="K518">
        <f t="shared" si="51"/>
        <v>0</v>
      </c>
      <c r="L518">
        <f t="shared" si="55"/>
        <v>0</v>
      </c>
      <c r="M518">
        <f>IF(I518="sell",N517+(N517*E518/100),IF(I518="buy",0,M517))</f>
        <v>0</v>
      </c>
      <c r="N518">
        <f>IF(I518="buy",M517,IF(I518="sell",0,IF(AND(I518="keep",N517&lt;&gt;0),N517+(N517*E517/100),N517)))</f>
        <v>1795.334621270925</v>
      </c>
      <c r="O518">
        <f>O517+(O517*E518/100)</f>
        <v>1734.132706780583</v>
      </c>
    </row>
    <row r="519" spans="1:15" x14ac:dyDescent="0.25">
      <c r="A519" s="1">
        <v>45852</v>
      </c>
      <c r="B519">
        <v>-0.13408820023838</v>
      </c>
      <c r="C519">
        <v>0.329364684365551</v>
      </c>
      <c r="D519">
        <v>-1.20288146419709</v>
      </c>
      <c r="E519">
        <v>1.0296329747722299</v>
      </c>
      <c r="F519" s="3">
        <v>-0.105991089501432</v>
      </c>
      <c r="G519" t="str">
        <f t="shared" si="52"/>
        <v>keep</v>
      </c>
      <c r="H519">
        <f t="shared" si="53"/>
        <v>1</v>
      </c>
      <c r="I519" t="str">
        <f t="shared" si="54"/>
        <v>keep</v>
      </c>
      <c r="J519">
        <f t="shared" si="50"/>
        <v>0</v>
      </c>
      <c r="K519">
        <f t="shared" si="51"/>
        <v>0</v>
      </c>
      <c r="L519">
        <f t="shared" si="55"/>
        <v>0</v>
      </c>
      <c r="M519">
        <f>IF(I519="sell",N518+(N518*E519/100),IF(I519="buy",0,M518))</f>
        <v>0</v>
      </c>
      <c r="N519">
        <f>IF(I519="buy",M518,IF(I519="sell",0,IF(AND(I519="keep",N518&lt;&gt;0),N518+(N518*E518/100),N518)))</f>
        <v>1776.1546353072197</v>
      </c>
      <c r="O519">
        <f>O518+(O518*E519/100)</f>
        <v>1751.9879089559061</v>
      </c>
    </row>
    <row r="520" spans="1:15" x14ac:dyDescent="0.25">
      <c r="A520" s="1">
        <v>45853</v>
      </c>
      <c r="B520">
        <v>-0.647469824612112</v>
      </c>
      <c r="C520">
        <v>0.12670393809375199</v>
      </c>
      <c r="D520">
        <v>0.23488288655426601</v>
      </c>
      <c r="E520">
        <v>-0.27342931047283903</v>
      </c>
      <c r="F520" s="3">
        <v>-5.4183771981272302E-3</v>
      </c>
      <c r="G520" t="str">
        <f t="shared" si="52"/>
        <v>keep</v>
      </c>
      <c r="H520">
        <f t="shared" si="53"/>
        <v>1</v>
      </c>
      <c r="I520" t="str">
        <f t="shared" si="54"/>
        <v>keep</v>
      </c>
      <c r="J520">
        <f t="shared" si="50"/>
        <v>0</v>
      </c>
      <c r="K520">
        <f t="shared" si="51"/>
        <v>0</v>
      </c>
      <c r="L520">
        <f t="shared" si="55"/>
        <v>0</v>
      </c>
      <c r="M520">
        <f>IF(I520="sell",N519+(N519*E520/100),IF(I520="buy",0,M519))</f>
        <v>0</v>
      </c>
      <c r="N520">
        <f>IF(I520="buy",M519,IF(I520="sell",0,IF(AND(I520="keep",N519&lt;&gt;0),N519+(N519*E519/100),N519)))</f>
        <v>1794.4425091152882</v>
      </c>
      <c r="O520">
        <f>O519+(O519*E520/100)</f>
        <v>1747.1974604968805</v>
      </c>
    </row>
    <row r="521" spans="1:15" x14ac:dyDescent="0.25">
      <c r="A521" s="1">
        <v>45854</v>
      </c>
      <c r="B521">
        <v>0.68172114958866503</v>
      </c>
      <c r="C521">
        <v>0.102168575161876</v>
      </c>
      <c r="D521">
        <v>0.50213371546847796</v>
      </c>
      <c r="E521">
        <v>-0.847458030009273</v>
      </c>
      <c r="F521" s="3">
        <v>0.311501600372179</v>
      </c>
      <c r="G521" t="str">
        <f t="shared" si="52"/>
        <v>buy</v>
      </c>
      <c r="H521">
        <f t="shared" si="53"/>
        <v>1</v>
      </c>
      <c r="I521" t="str">
        <f t="shared" si="54"/>
        <v>keep</v>
      </c>
      <c r="J521">
        <f t="shared" si="50"/>
        <v>0</v>
      </c>
      <c r="K521">
        <f t="shared" si="51"/>
        <v>0</v>
      </c>
      <c r="L521">
        <f t="shared" si="55"/>
        <v>0</v>
      </c>
      <c r="M521">
        <f>IF(I521="sell",N520+(N520*E521/100),IF(I521="buy",0,M520))</f>
        <v>0</v>
      </c>
      <c r="N521">
        <f>IF(I521="buy",M520,IF(I521="sell",0,IF(AND(I521="keep",N520&lt;&gt;0),N520+(N520*E520/100),N520)))</f>
        <v>1789.5359773357827</v>
      </c>
      <c r="O521">
        <f>O520+(O520*E521/100)</f>
        <v>1732.3906953177816</v>
      </c>
    </row>
    <row r="522" spans="1:15" x14ac:dyDescent="0.25">
      <c r="A522" s="1">
        <v>45855</v>
      </c>
      <c r="B522">
        <v>-0.369870315995524</v>
      </c>
      <c r="C522">
        <v>0.75554522208896002</v>
      </c>
      <c r="D522">
        <v>-6.6624903322220999E-2</v>
      </c>
      <c r="E522">
        <v>0.67873420324031597</v>
      </c>
      <c r="F522" s="3">
        <v>8.3881769371502601E-2</v>
      </c>
      <c r="G522" t="str">
        <f t="shared" si="52"/>
        <v>keep</v>
      </c>
      <c r="H522">
        <f t="shared" si="53"/>
        <v>1</v>
      </c>
      <c r="I522" t="str">
        <f t="shared" si="54"/>
        <v>keep</v>
      </c>
      <c r="J522">
        <f t="shared" si="50"/>
        <v>0</v>
      </c>
      <c r="K522">
        <f t="shared" si="51"/>
        <v>0</v>
      </c>
      <c r="L522">
        <f t="shared" si="55"/>
        <v>0</v>
      </c>
      <c r="M522">
        <f>IF(I522="sell",N521+(N521*E522/100),IF(I522="buy",0,M521))</f>
        <v>0</v>
      </c>
      <c r="N522">
        <f>IF(I522="buy",M521,IF(I522="sell",0,IF(AND(I522="keep",N521&lt;&gt;0),N521+(N521*E521/100),N521)))</f>
        <v>1774.3704109959458</v>
      </c>
      <c r="O522">
        <f>O521+(O521*E522/100)</f>
        <v>1744.1490235006561</v>
      </c>
    </row>
    <row r="523" spans="1:15" x14ac:dyDescent="0.25">
      <c r="A523" s="1">
        <v>45856</v>
      </c>
      <c r="B523">
        <v>0.38621304651325</v>
      </c>
      <c r="C523">
        <v>-6.7501598054009404E-2</v>
      </c>
      <c r="D523">
        <v>0.55232806402758505</v>
      </c>
      <c r="E523">
        <v>0.92384254415263101</v>
      </c>
      <c r="F523" s="3">
        <v>0.237104143205257</v>
      </c>
      <c r="G523" t="str">
        <f t="shared" si="52"/>
        <v>buy</v>
      </c>
      <c r="H523">
        <f t="shared" si="53"/>
        <v>1</v>
      </c>
      <c r="I523" t="str">
        <f t="shared" si="54"/>
        <v>keep</v>
      </c>
      <c r="J523">
        <f t="shared" si="50"/>
        <v>0</v>
      </c>
      <c r="K523">
        <f t="shared" si="51"/>
        <v>0</v>
      </c>
      <c r="L523">
        <f t="shared" si="55"/>
        <v>0</v>
      </c>
      <c r="M523">
        <f>IF(I523="sell",N522+(N522*E523/100),IF(I523="buy",0,M522))</f>
        <v>0</v>
      </c>
      <c r="N523">
        <f>IF(I523="buy",M522,IF(I523="sell",0,IF(AND(I523="keep",N522&lt;&gt;0),N522+(N522*E522/100),N522)))</f>
        <v>1786.4136698675511</v>
      </c>
      <c r="O523">
        <f>O522+(O522*E523/100)</f>
        <v>1760.2622142131779</v>
      </c>
    </row>
    <row r="524" spans="1:15" x14ac:dyDescent="0.25">
      <c r="A524" s="1">
        <v>45859</v>
      </c>
      <c r="B524">
        <v>1.4583925542424701</v>
      </c>
      <c r="C524">
        <v>0.49680253754575898</v>
      </c>
      <c r="D524">
        <v>0.61558278783693199</v>
      </c>
      <c r="E524">
        <v>1.0143584381069499</v>
      </c>
      <c r="F524" s="3">
        <v>0.54899832861261</v>
      </c>
      <c r="G524" t="str">
        <f t="shared" si="52"/>
        <v>buy</v>
      </c>
      <c r="H524">
        <f t="shared" si="53"/>
        <v>1</v>
      </c>
      <c r="I524" t="str">
        <f t="shared" si="54"/>
        <v>keep</v>
      </c>
      <c r="J524">
        <f t="shared" si="50"/>
        <v>0</v>
      </c>
      <c r="K524">
        <f t="shared" si="51"/>
        <v>0</v>
      </c>
      <c r="L524">
        <f t="shared" si="55"/>
        <v>0</v>
      </c>
      <c r="M524">
        <f>IF(I524="sell",N523+(N523*E524/100),IF(I524="buy",0,M523))</f>
        <v>0</v>
      </c>
      <c r="N524">
        <f>IF(I524="buy",M523,IF(I524="sell",0,IF(AND(I524="keep",N523&lt;&gt;0),N523+(N523*E523/100),N523)))</f>
        <v>1802.917319364346</v>
      </c>
      <c r="O524">
        <f>O523+(O523*E524/100)</f>
        <v>1778.1175825158575</v>
      </c>
    </row>
    <row r="525" spans="1:15" x14ac:dyDescent="0.25">
      <c r="A525" s="1">
        <v>45860</v>
      </c>
      <c r="B525">
        <v>1.0964475704422401</v>
      </c>
      <c r="C525">
        <v>-0.50250286669636302</v>
      </c>
      <c r="D525">
        <v>0.90362347501034002</v>
      </c>
      <c r="E525">
        <v>0.26940188763506701</v>
      </c>
      <c r="F525" s="3">
        <v>0.38718673726434399</v>
      </c>
      <c r="G525" t="str">
        <f t="shared" si="52"/>
        <v>buy</v>
      </c>
      <c r="H525">
        <f t="shared" si="53"/>
        <v>1</v>
      </c>
      <c r="I525" t="str">
        <f t="shared" si="54"/>
        <v>keep</v>
      </c>
      <c r="J525">
        <f t="shared" si="50"/>
        <v>0</v>
      </c>
      <c r="K525">
        <f t="shared" si="51"/>
        <v>0</v>
      </c>
      <c r="L525">
        <f t="shared" si="55"/>
        <v>0</v>
      </c>
      <c r="M525">
        <f>IF(I525="sell",N524+(N524*E525/100),IF(I525="buy",0,M524))</f>
        <v>0</v>
      </c>
      <c r="N525">
        <f>IF(I525="buy",M524,IF(I525="sell",0,IF(AND(I525="keep",N524&lt;&gt;0),N524+(N524*E524/100),N524)))</f>
        <v>1821.20536332541</v>
      </c>
      <c r="O525">
        <f>O524+(O524*E525/100)</f>
        <v>1782.9078648475263</v>
      </c>
    </row>
    <row r="526" spans="1:15" x14ac:dyDescent="0.25">
      <c r="A526" s="1">
        <v>45861</v>
      </c>
      <c r="B526">
        <v>-1.3113472364483301</v>
      </c>
      <c r="C526">
        <v>0.428511435736456</v>
      </c>
      <c r="D526">
        <v>-0.116607488069309</v>
      </c>
      <c r="E526">
        <v>0.586227861547161</v>
      </c>
      <c r="F526" s="3">
        <v>-0.16130556468017601</v>
      </c>
      <c r="G526" t="str">
        <f t="shared" si="52"/>
        <v>sell</v>
      </c>
      <c r="H526">
        <f t="shared" si="53"/>
        <v>0</v>
      </c>
      <c r="I526" t="str">
        <f t="shared" si="54"/>
        <v>sell</v>
      </c>
      <c r="J526">
        <f t="shared" si="50"/>
        <v>0</v>
      </c>
      <c r="K526">
        <f t="shared" si="51"/>
        <v>1</v>
      </c>
      <c r="L526">
        <f t="shared" si="55"/>
        <v>0</v>
      </c>
      <c r="M526">
        <f>IF(I526="sell",N525+(N525*E526/100),IF(I526="buy",0,M525))</f>
        <v>1831.8817765812148</v>
      </c>
      <c r="N526">
        <f>IF(I526="buy",M525,IF(I526="sell",0,IF(AND(I526="keep",N525&lt;&gt;0),N525+(N525*E525/100),N525)))</f>
        <v>0</v>
      </c>
      <c r="O526">
        <f>O525+(O525*E526/100)</f>
        <v>1793.3597674969781</v>
      </c>
    </row>
    <row r="527" spans="1:15" x14ac:dyDescent="0.25">
      <c r="A527" s="1">
        <v>45862</v>
      </c>
      <c r="B527">
        <v>-0.68059565102990205</v>
      </c>
      <c r="C527">
        <v>0.24806997193898001</v>
      </c>
      <c r="D527">
        <v>-0.18212004700020001</v>
      </c>
      <c r="E527">
        <v>0.14570513075851099</v>
      </c>
      <c r="F527" s="3">
        <v>-6.2070374240692297E-2</v>
      </c>
      <c r="G527" t="str">
        <f t="shared" si="52"/>
        <v>keep</v>
      </c>
      <c r="H527">
        <f t="shared" si="53"/>
        <v>1</v>
      </c>
      <c r="I527" t="str">
        <f t="shared" si="54"/>
        <v>keep</v>
      </c>
      <c r="J527">
        <f t="shared" si="50"/>
        <v>0</v>
      </c>
      <c r="K527">
        <f t="shared" si="51"/>
        <v>0</v>
      </c>
      <c r="L527">
        <f t="shared" si="55"/>
        <v>0</v>
      </c>
      <c r="M527">
        <f>IF(I527="sell",N526+(N526*E527/100),IF(I527="buy",0,M526))</f>
        <v>1831.8817765812148</v>
      </c>
      <c r="N527">
        <f>IF(I527="buy",M526,IF(I527="sell",0,IF(AND(I527="keep",N526&lt;&gt;0),N526+(N526*E526/100),N526)))</f>
        <v>0</v>
      </c>
      <c r="O527">
        <f>O526+(O526*E527/100)</f>
        <v>1795.9727846911801</v>
      </c>
    </row>
    <row r="528" spans="1:15" x14ac:dyDescent="0.25">
      <c r="A528" s="1">
        <v>45863</v>
      </c>
      <c r="B528">
        <v>-1.09759715218036</v>
      </c>
      <c r="C528">
        <v>0.22558636768263901</v>
      </c>
      <c r="D528">
        <v>5.6146331546491603E-2</v>
      </c>
      <c r="E528">
        <v>-4.8497713262984903E-2</v>
      </c>
      <c r="F528" s="3">
        <v>-0.113081481702808</v>
      </c>
      <c r="G528" t="str">
        <f t="shared" si="52"/>
        <v>keep</v>
      </c>
      <c r="H528">
        <f t="shared" si="53"/>
        <v>0</v>
      </c>
      <c r="I528" t="str">
        <f t="shared" si="54"/>
        <v>keep</v>
      </c>
      <c r="J528">
        <f t="shared" si="50"/>
        <v>0</v>
      </c>
      <c r="K528">
        <f t="shared" si="51"/>
        <v>0</v>
      </c>
      <c r="L528">
        <f t="shared" si="55"/>
        <v>0</v>
      </c>
      <c r="M528">
        <f>IF(I528="sell",N527+(N527*E528/100),IF(I528="buy",0,M527))</f>
        <v>1831.8817765812148</v>
      </c>
      <c r="N528">
        <f>IF(I528="buy",M527,IF(I528="sell",0,IF(AND(I528="keep",N527&lt;&gt;0),N527+(N527*E527/100),N527)))</f>
        <v>0</v>
      </c>
      <c r="O528">
        <f>O527+(O527*E528/100)</f>
        <v>1795.1017789597793</v>
      </c>
    </row>
    <row r="529" spans="1:15" x14ac:dyDescent="0.25">
      <c r="A529" s="1">
        <v>45866</v>
      </c>
      <c r="B529">
        <v>-0.74684770077234597</v>
      </c>
      <c r="C529">
        <v>0.36102882725133001</v>
      </c>
      <c r="D529">
        <v>7.9485874099027798E-2</v>
      </c>
      <c r="E529">
        <v>0.582236430524396</v>
      </c>
      <c r="F529" s="3">
        <v>-1.54705434850158E-2</v>
      </c>
      <c r="G529" t="str">
        <f t="shared" si="52"/>
        <v>keep</v>
      </c>
      <c r="H529">
        <f t="shared" si="53"/>
        <v>0</v>
      </c>
      <c r="I529" t="str">
        <f t="shared" si="54"/>
        <v>keep</v>
      </c>
      <c r="J529">
        <f t="shared" si="50"/>
        <v>0</v>
      </c>
      <c r="K529">
        <f t="shared" si="51"/>
        <v>0</v>
      </c>
      <c r="L529">
        <f t="shared" si="55"/>
        <v>0</v>
      </c>
      <c r="M529">
        <f>IF(I529="sell",N528+(N528*E529/100),IF(I529="buy",0,M528))</f>
        <v>1831.8817765812148</v>
      </c>
      <c r="N529">
        <f>IF(I529="buy",M528,IF(I529="sell",0,IF(AND(I529="keep",N528&lt;&gt;0),N528+(N528*E528/100),N528)))</f>
        <v>0</v>
      </c>
      <c r="O529">
        <f>O528+(O528*E529/100)</f>
        <v>1805.5535154818747</v>
      </c>
    </row>
    <row r="530" spans="1:15" x14ac:dyDescent="0.25">
      <c r="A530" s="1">
        <v>45867</v>
      </c>
      <c r="B530">
        <v>0.43213575490290701</v>
      </c>
      <c r="C530">
        <v>-0.205378474228601</v>
      </c>
      <c r="D530">
        <v>-1.2987668901023599</v>
      </c>
      <c r="E530">
        <v>0.60299084785466694</v>
      </c>
      <c r="F530" s="3">
        <v>-7.0062462899562999E-2</v>
      </c>
      <c r="G530" t="str">
        <f t="shared" si="52"/>
        <v>keep</v>
      </c>
      <c r="H530">
        <f t="shared" si="53"/>
        <v>0</v>
      </c>
      <c r="I530" t="str">
        <f t="shared" si="54"/>
        <v>keep</v>
      </c>
      <c r="J530">
        <f t="shared" si="50"/>
        <v>0</v>
      </c>
      <c r="K530">
        <f t="shared" si="51"/>
        <v>0</v>
      </c>
      <c r="L530">
        <f t="shared" si="55"/>
        <v>0</v>
      </c>
      <c r="M530">
        <f>IF(I530="sell",N529+(N529*E530/100),IF(I530="buy",0,M529))</f>
        <v>1831.8817765812148</v>
      </c>
      <c r="N530">
        <f>IF(I530="buy",M529,IF(I530="sell",0,IF(AND(I530="keep",N529&lt;&gt;0),N529+(N529*E529/100),N529)))</f>
        <v>0</v>
      </c>
      <c r="O530">
        <f>O529+(O529*E530/100)</f>
        <v>1816.4408379333486</v>
      </c>
    </row>
    <row r="531" spans="1:15" x14ac:dyDescent="0.25">
      <c r="A531" s="1">
        <v>45868</v>
      </c>
      <c r="B531">
        <v>-0.83047043168535895</v>
      </c>
      <c r="C531">
        <v>0.15921098388198501</v>
      </c>
      <c r="D531">
        <v>-1.05078629117036</v>
      </c>
      <c r="E531">
        <v>1.53440278996959</v>
      </c>
      <c r="F531" s="3">
        <v>-0.23691779163815299</v>
      </c>
      <c r="G531" t="str">
        <f t="shared" si="52"/>
        <v>sell</v>
      </c>
      <c r="H531">
        <f t="shared" si="53"/>
        <v>0</v>
      </c>
      <c r="I531" t="str">
        <f t="shared" si="54"/>
        <v>keep</v>
      </c>
      <c r="J531">
        <f t="shared" si="50"/>
        <v>0</v>
      </c>
      <c r="K531">
        <f t="shared" si="51"/>
        <v>0</v>
      </c>
      <c r="L531">
        <f t="shared" si="55"/>
        <v>0</v>
      </c>
      <c r="M531">
        <f>IF(I531="sell",N530+(N530*E531/100),IF(I531="buy",0,M530))</f>
        <v>1831.8817765812148</v>
      </c>
      <c r="N531">
        <f>IF(I531="buy",M530,IF(I531="sell",0,IF(AND(I531="keep",N530&lt;&gt;0),N530+(N530*E530/100),N530)))</f>
        <v>0</v>
      </c>
      <c r="O531">
        <f>O530+(O530*E531/100)</f>
        <v>1844.3123568287449</v>
      </c>
    </row>
    <row r="532" spans="1:15" x14ac:dyDescent="0.25">
      <c r="A532" s="1">
        <v>45869</v>
      </c>
      <c r="B532">
        <v>-7.8891243938616906E-2</v>
      </c>
      <c r="C532">
        <v>-0.54525071426479998</v>
      </c>
      <c r="D532">
        <v>-0.70796093805830496</v>
      </c>
      <c r="E532">
        <v>0.63754537778475395</v>
      </c>
      <c r="F532" s="3">
        <v>-0.118035592964665</v>
      </c>
      <c r="G532" t="str">
        <f t="shared" si="52"/>
        <v>keep</v>
      </c>
      <c r="H532">
        <f t="shared" si="53"/>
        <v>1</v>
      </c>
      <c r="I532" t="str">
        <f t="shared" si="54"/>
        <v>keep</v>
      </c>
      <c r="J532">
        <f t="shared" si="50"/>
        <v>0</v>
      </c>
      <c r="K532">
        <f t="shared" si="51"/>
        <v>0</v>
      </c>
      <c r="L532">
        <f t="shared" si="55"/>
        <v>0</v>
      </c>
      <c r="M532">
        <f>IF(I532="sell",N531+(N531*E532/100),IF(I532="buy",0,M531))</f>
        <v>1831.8817765812148</v>
      </c>
      <c r="N532">
        <f>IF(I532="buy",M531,IF(I532="sell",0,IF(AND(I532="keep",N531&lt;&gt;0),N531+(N531*E531/100),N531)))</f>
        <v>0</v>
      </c>
      <c r="O532">
        <f>O531+(O531*E532/100)</f>
        <v>1856.0706850116196</v>
      </c>
    </row>
    <row r="533" spans="1:15" x14ac:dyDescent="0.25">
      <c r="A533" s="1">
        <v>45870</v>
      </c>
      <c r="B533">
        <v>1.65492532515696</v>
      </c>
      <c r="C533">
        <v>-1.95885201120454</v>
      </c>
      <c r="D533">
        <v>-2.5003594915492902</v>
      </c>
      <c r="E533">
        <v>-1.2435447972298499</v>
      </c>
      <c r="F533" s="3">
        <v>-0.241754780465636</v>
      </c>
      <c r="G533" t="str">
        <f t="shared" si="52"/>
        <v>sell</v>
      </c>
      <c r="H533">
        <f t="shared" si="53"/>
        <v>0</v>
      </c>
      <c r="I533" t="str">
        <f t="shared" si="54"/>
        <v>keep</v>
      </c>
      <c r="J533">
        <f t="shared" si="50"/>
        <v>0</v>
      </c>
      <c r="K533">
        <f t="shared" si="51"/>
        <v>0</v>
      </c>
      <c r="L533">
        <f t="shared" si="55"/>
        <v>0</v>
      </c>
      <c r="M533">
        <f>IF(I533="sell",N532+(N532*E533/100),IF(I533="buy",0,M532))</f>
        <v>1831.8817765812148</v>
      </c>
      <c r="N533">
        <f>IF(I533="buy",M532,IF(I533="sell",0,IF(AND(I533="keep",N532&lt;&gt;0),N532+(N532*E532/100),N532)))</f>
        <v>0</v>
      </c>
      <c r="O533">
        <f>O532+(O532*E533/100)</f>
        <v>1832.9896145752491</v>
      </c>
    </row>
    <row r="534" spans="1:15" x14ac:dyDescent="0.25">
      <c r="A534" s="1">
        <v>45873</v>
      </c>
      <c r="B534">
        <v>0.79756105867638805</v>
      </c>
      <c r="C534">
        <v>1.8683522647077599</v>
      </c>
      <c r="D534">
        <v>0.47929361085659</v>
      </c>
      <c r="E534">
        <v>2.1620333668641099</v>
      </c>
      <c r="F534" s="3">
        <v>0.57854538818096002</v>
      </c>
      <c r="G534" t="str">
        <f t="shared" si="52"/>
        <v>buy</v>
      </c>
      <c r="H534">
        <f t="shared" si="53"/>
        <v>1</v>
      </c>
      <c r="I534" t="str">
        <f t="shared" si="54"/>
        <v>buy</v>
      </c>
      <c r="J534">
        <f t="shared" si="50"/>
        <v>1</v>
      </c>
      <c r="K534">
        <f t="shared" si="51"/>
        <v>0</v>
      </c>
      <c r="L534">
        <f t="shared" si="55"/>
        <v>1</v>
      </c>
      <c r="M534">
        <f>IF(I534="sell",N533+(N533*E534/100),IF(I534="buy",0,M533))</f>
        <v>0</v>
      </c>
      <c r="N534">
        <f>IF(I534="buy",M533,IF(I534="sell",0,IF(AND(I534="keep",N533&lt;&gt;0),N533+(N533*E533/100),N533)))</f>
        <v>1831.8817765812148</v>
      </c>
      <c r="O534">
        <f>O533+(O533*E534/100)</f>
        <v>1872.6194616535199</v>
      </c>
    </row>
    <row r="535" spans="1:15" x14ac:dyDescent="0.25">
      <c r="A535" s="1">
        <v>45874</v>
      </c>
      <c r="B535">
        <v>0.22226174185195899</v>
      </c>
      <c r="C535">
        <v>-0.73332913317489801</v>
      </c>
      <c r="D535">
        <v>-0.21146353111312</v>
      </c>
      <c r="E535">
        <v>1.3953452886536999</v>
      </c>
      <c r="F535" s="3">
        <v>4.2841692310398097E-3</v>
      </c>
      <c r="G535" t="str">
        <f t="shared" si="52"/>
        <v>keep</v>
      </c>
      <c r="H535">
        <f t="shared" si="53"/>
        <v>1</v>
      </c>
      <c r="I535" t="str">
        <f t="shared" si="54"/>
        <v>keep</v>
      </c>
      <c r="J535">
        <f t="shared" si="50"/>
        <v>0</v>
      </c>
      <c r="K535">
        <f t="shared" si="51"/>
        <v>0</v>
      </c>
      <c r="L535">
        <f t="shared" si="55"/>
        <v>0</v>
      </c>
      <c r="M535">
        <f>IF(I535="sell",N534+(N534*E535/100),IF(I535="buy",0,M534))</f>
        <v>0</v>
      </c>
      <c r="N535">
        <f>IF(I535="buy",M534,IF(I535="sell",0,IF(AND(I535="keep",N534&lt;&gt;0),N534+(N534*E534/100),N534)))</f>
        <v>1871.4876718324037</v>
      </c>
      <c r="O535">
        <f>O534+(O534*E535/100)</f>
        <v>1898.7489690861146</v>
      </c>
    </row>
    <row r="536" spans="1:15" x14ac:dyDescent="0.25">
      <c r="A536" s="1">
        <v>45875</v>
      </c>
      <c r="B536">
        <v>-5.6178550477892199E-2</v>
      </c>
      <c r="C536">
        <v>1.28799763573943</v>
      </c>
      <c r="D536">
        <v>5.0906796025055296</v>
      </c>
      <c r="E536">
        <v>1.1697297111906699</v>
      </c>
      <c r="F536" s="3">
        <v>1.04904718833091</v>
      </c>
      <c r="G536" t="str">
        <f t="shared" si="52"/>
        <v>buy</v>
      </c>
      <c r="H536">
        <f t="shared" si="53"/>
        <v>1</v>
      </c>
      <c r="I536" t="str">
        <f t="shared" si="54"/>
        <v>keep</v>
      </c>
      <c r="J536">
        <f t="shared" si="50"/>
        <v>0</v>
      </c>
      <c r="K536">
        <f t="shared" si="51"/>
        <v>0</v>
      </c>
      <c r="L536">
        <f t="shared" si="55"/>
        <v>0</v>
      </c>
      <c r="M536">
        <f>IF(I536="sell",N535+(N535*E536/100),IF(I536="buy",0,M535))</f>
        <v>0</v>
      </c>
      <c r="N536">
        <f>IF(I536="buy",M535,IF(I536="sell",0,IF(AND(I536="keep",N535&lt;&gt;0),N535+(N535*E535/100),N535)))</f>
        <v>1897.601386889052</v>
      </c>
      <c r="O536">
        <f>O535+(O535*E536/100)</f>
        <v>1920.9591999184413</v>
      </c>
    </row>
    <row r="537" spans="1:15" x14ac:dyDescent="0.25">
      <c r="A537" s="1">
        <v>45876</v>
      </c>
      <c r="B537">
        <v>0.60059316059541901</v>
      </c>
      <c r="C537">
        <v>0.31949435802065501</v>
      </c>
      <c r="D537">
        <v>3.1793629657992502</v>
      </c>
      <c r="E537">
        <v>0.49875587771244201</v>
      </c>
      <c r="F537" s="3">
        <v>0.75211383980383795</v>
      </c>
      <c r="G537" t="str">
        <f t="shared" si="52"/>
        <v>buy</v>
      </c>
      <c r="H537">
        <f t="shared" si="53"/>
        <v>1</v>
      </c>
      <c r="I537" t="str">
        <f t="shared" si="54"/>
        <v>keep</v>
      </c>
      <c r="J537">
        <f t="shared" si="50"/>
        <v>0</v>
      </c>
      <c r="K537">
        <f t="shared" si="51"/>
        <v>0</v>
      </c>
      <c r="L537">
        <f t="shared" si="55"/>
        <v>0</v>
      </c>
      <c r="M537">
        <f>IF(I537="sell",N536+(N536*E537/100),IF(I537="buy",0,M536))</f>
        <v>0</v>
      </c>
      <c r="N537">
        <f>IF(I537="buy",M536,IF(I537="sell",0,IF(AND(I537="keep",N536&lt;&gt;0),N536+(N536*E536/100),N536)))</f>
        <v>1919.7981941114595</v>
      </c>
      <c r="O537">
        <f>O536+(O536*E537/100)</f>
        <v>1930.5400968364925</v>
      </c>
    </row>
    <row r="538" spans="1:15" x14ac:dyDescent="0.25">
      <c r="A538" s="1">
        <v>45877</v>
      </c>
      <c r="B538">
        <v>1.14107720703933</v>
      </c>
      <c r="C538">
        <v>0.94803205126758805</v>
      </c>
      <c r="D538">
        <v>4.2357912907872999</v>
      </c>
      <c r="E538">
        <v>6.76715047547293E-2</v>
      </c>
      <c r="F538" s="3">
        <v>1.1047293397809901</v>
      </c>
      <c r="G538" t="str">
        <f t="shared" si="52"/>
        <v>buy</v>
      </c>
      <c r="H538">
        <f t="shared" si="53"/>
        <v>1</v>
      </c>
      <c r="I538" t="str">
        <f t="shared" si="54"/>
        <v>keep</v>
      </c>
      <c r="J538">
        <f t="shared" si="50"/>
        <v>0</v>
      </c>
      <c r="K538">
        <f t="shared" si="51"/>
        <v>0</v>
      </c>
      <c r="L538">
        <f t="shared" si="55"/>
        <v>0</v>
      </c>
      <c r="M538">
        <f>IF(I538="sell",N537+(N537*E538/100),IF(I538="buy",0,M537))</f>
        <v>0</v>
      </c>
      <c r="N538">
        <f>IF(I538="buy",M537,IF(I538="sell",0,IF(AND(I538="keep",N537&lt;&gt;0),N537+(N537*E537/100),N537)))</f>
        <v>1929.3733004448077</v>
      </c>
      <c r="O538">
        <f>O537+(O537*E538/100)</f>
        <v>1931.8465223699152</v>
      </c>
    </row>
    <row r="539" spans="1:15" x14ac:dyDescent="0.25">
      <c r="A539" s="1">
        <v>45880</v>
      </c>
      <c r="B539">
        <v>-2.5006541699268601</v>
      </c>
      <c r="C539">
        <v>-0.35846726396044898</v>
      </c>
      <c r="D539">
        <v>-0.83374319117616102</v>
      </c>
      <c r="E539">
        <v>0.383224000465065</v>
      </c>
      <c r="F539" s="3">
        <v>-0.61832654120838804</v>
      </c>
      <c r="G539" t="str">
        <f t="shared" si="52"/>
        <v>sell</v>
      </c>
      <c r="H539">
        <f t="shared" si="53"/>
        <v>1</v>
      </c>
      <c r="I539" t="str">
        <f t="shared" si="54"/>
        <v>sell</v>
      </c>
      <c r="J539">
        <f t="shared" si="50"/>
        <v>0</v>
      </c>
      <c r="K539">
        <f t="shared" si="51"/>
        <v>1</v>
      </c>
      <c r="L539">
        <f t="shared" si="55"/>
        <v>1</v>
      </c>
      <c r="M539">
        <f>IF(I539="sell",N538+(N538*E539/100),IF(I539="buy",0,M538))</f>
        <v>1936.7671219906772</v>
      </c>
      <c r="N539">
        <f>IF(I539="buy",M538,IF(I539="sell",0,IF(AND(I539="keep",N538&lt;&gt;0),N538+(N538*E538/100),N538)))</f>
        <v>0</v>
      </c>
      <c r="O539">
        <f>O538+(O538*E539/100)</f>
        <v>1939.2498218957865</v>
      </c>
    </row>
    <row r="540" spans="1:15" x14ac:dyDescent="0.25">
      <c r="A540" s="1">
        <v>45881</v>
      </c>
      <c r="B540">
        <v>-0.125263045843337</v>
      </c>
      <c r="C540">
        <v>1.3285725493093501</v>
      </c>
      <c r="D540">
        <v>1.0872426196794001</v>
      </c>
      <c r="E540">
        <v>-0.58387228533696101</v>
      </c>
      <c r="F540" s="3">
        <v>0.40626630787270501</v>
      </c>
      <c r="G540" t="str">
        <f t="shared" si="52"/>
        <v>buy</v>
      </c>
      <c r="H540">
        <f t="shared" si="53"/>
        <v>1</v>
      </c>
      <c r="I540" t="str">
        <f t="shared" si="54"/>
        <v>buy</v>
      </c>
      <c r="J540">
        <f t="shared" si="50"/>
        <v>1</v>
      </c>
      <c r="K540">
        <f t="shared" si="51"/>
        <v>0</v>
      </c>
      <c r="L540">
        <f t="shared" si="55"/>
        <v>1</v>
      </c>
      <c r="M540">
        <f>IF(I540="sell",N539+(N539*E540/100),IF(I540="buy",0,M539))</f>
        <v>0</v>
      </c>
      <c r="N540">
        <f>IF(I540="buy",M539,IF(I540="sell",0,IF(AND(I540="keep",N539&lt;&gt;0),N539+(N539*E539/100),N539)))</f>
        <v>1936.7671219906772</v>
      </c>
      <c r="O540">
        <f>O539+(O539*E540/100)</f>
        <v>1927.9270796422907</v>
      </c>
    </row>
    <row r="541" spans="1:15" x14ac:dyDescent="0.25">
      <c r="A541" s="1">
        <v>45882</v>
      </c>
      <c r="B541">
        <v>0.29263486858075399</v>
      </c>
      <c r="C541">
        <v>4.1275898824077999E-2</v>
      </c>
      <c r="D541">
        <v>1.60244579491326</v>
      </c>
      <c r="E541">
        <v>0.56471650647149596</v>
      </c>
      <c r="F541" s="3">
        <v>0.39329020136034198</v>
      </c>
      <c r="G541" t="str">
        <f t="shared" si="52"/>
        <v>buy</v>
      </c>
      <c r="H541">
        <f t="shared" si="53"/>
        <v>0</v>
      </c>
      <c r="I541" t="str">
        <f t="shared" si="54"/>
        <v>keep</v>
      </c>
      <c r="J541">
        <f t="shared" si="50"/>
        <v>0</v>
      </c>
      <c r="K541">
        <f t="shared" si="51"/>
        <v>0</v>
      </c>
      <c r="L541">
        <f t="shared" si="55"/>
        <v>0</v>
      </c>
      <c r="M541">
        <f>IF(I541="sell",N540+(N540*E541/100),IF(I541="buy",0,M540))</f>
        <v>0</v>
      </c>
      <c r="N541">
        <f>IF(I541="buy",M540,IF(I541="sell",0,IF(AND(I541="keep",N540&lt;&gt;0),N540+(N540*E540/100),N540)))</f>
        <v>1925.4588755338552</v>
      </c>
      <c r="O541">
        <f>O540+(O540*E541/100)</f>
        <v>1938.8144020937646</v>
      </c>
    </row>
    <row r="542" spans="1:15" x14ac:dyDescent="0.25">
      <c r="A542" s="1">
        <v>45883</v>
      </c>
      <c r="B542">
        <v>-0.69967547984751599</v>
      </c>
      <c r="C542">
        <v>-6.9602843668037304E-2</v>
      </c>
      <c r="D542">
        <v>-0.23571835446725101</v>
      </c>
      <c r="E542">
        <v>-0.35938869219891401</v>
      </c>
      <c r="F542" s="3">
        <v>-0.106825636324918</v>
      </c>
      <c r="G542" t="str">
        <f t="shared" si="52"/>
        <v>keep</v>
      </c>
      <c r="H542">
        <f t="shared" si="53"/>
        <v>0</v>
      </c>
      <c r="I542" t="str">
        <f t="shared" si="54"/>
        <v>keep</v>
      </c>
      <c r="J542">
        <f t="shared" si="50"/>
        <v>0</v>
      </c>
      <c r="K542">
        <f t="shared" si="51"/>
        <v>0</v>
      </c>
      <c r="L542">
        <f t="shared" si="55"/>
        <v>0</v>
      </c>
      <c r="M542">
        <f>IF(I542="sell",N541+(N541*E542/100),IF(I542="buy",0,M541))</f>
        <v>0</v>
      </c>
      <c r="N542">
        <f>IF(I542="buy",M541,IF(I542="sell",0,IF(AND(I542="keep",N541&lt;&gt;0),N541+(N541*E541/100),N541)))</f>
        <v>1936.3322596293153</v>
      </c>
      <c r="O542">
        <f>O541+(O541*E542/100)</f>
        <v>1931.8465223699156</v>
      </c>
    </row>
    <row r="543" spans="1:15" x14ac:dyDescent="0.25">
      <c r="A543" s="1">
        <v>45884</v>
      </c>
      <c r="B543">
        <v>2.3988031897270699E-2</v>
      </c>
      <c r="C543">
        <v>-0.50506428794983005</v>
      </c>
      <c r="D543">
        <v>-0.51121681057085799</v>
      </c>
      <c r="E543">
        <v>1.55545224800552</v>
      </c>
      <c r="F543" s="3">
        <v>-5.16351656414753E-2</v>
      </c>
      <c r="G543" t="str">
        <f t="shared" si="52"/>
        <v>keep</v>
      </c>
      <c r="H543">
        <f t="shared" si="53"/>
        <v>0</v>
      </c>
      <c r="I543" t="str">
        <f t="shared" si="54"/>
        <v>keep</v>
      </c>
      <c r="J543">
        <f t="shared" si="50"/>
        <v>0</v>
      </c>
      <c r="K543">
        <f t="shared" si="51"/>
        <v>0</v>
      </c>
      <c r="L543">
        <f t="shared" si="55"/>
        <v>0</v>
      </c>
      <c r="M543">
        <f>IF(I543="sell",N542+(N542*E543/100),IF(I543="buy",0,M542))</f>
        <v>0</v>
      </c>
      <c r="N543">
        <f>IF(I543="buy",M542,IF(I543="sell",0,IF(AND(I543="keep",N542&lt;&gt;0),N542+(N542*E542/100),N542)))</f>
        <v>1929.3733004448079</v>
      </c>
      <c r="O543">
        <f>O542+(O542*E543/100)</f>
        <v>1961.8954725301351</v>
      </c>
    </row>
    <row r="544" spans="1:15" x14ac:dyDescent="0.25">
      <c r="A544" s="1">
        <v>45887</v>
      </c>
      <c r="B544">
        <v>-0.128898346166816</v>
      </c>
      <c r="C544">
        <v>7.1248655336031003E-3</v>
      </c>
      <c r="D544">
        <v>-0.30225322092916002</v>
      </c>
      <c r="E544">
        <v>1.06548179881311</v>
      </c>
      <c r="F544" s="3">
        <v>2.1106887300730699E-2</v>
      </c>
      <c r="G544" t="str">
        <f t="shared" si="52"/>
        <v>keep</v>
      </c>
      <c r="H544">
        <f t="shared" si="53"/>
        <v>0</v>
      </c>
      <c r="I544" t="str">
        <f t="shared" si="54"/>
        <v>keep</v>
      </c>
      <c r="J544">
        <f t="shared" si="50"/>
        <v>0</v>
      </c>
      <c r="K544">
        <f t="shared" si="51"/>
        <v>0</v>
      </c>
      <c r="L544">
        <f t="shared" si="55"/>
        <v>0</v>
      </c>
      <c r="M544">
        <f>IF(I544="sell",N543+(N543*E544/100),IF(I544="buy",0,M543))</f>
        <v>0</v>
      </c>
      <c r="N544">
        <f>IF(I544="buy",M543,IF(I544="sell",0,IF(AND(I544="keep",N543&lt;&gt;0),N543+(N543*E543/100),N543)))</f>
        <v>1959.3837808189949</v>
      </c>
      <c r="O544">
        <f>O543+(O543*E544/100)</f>
        <v>1982.799111701682</v>
      </c>
    </row>
    <row r="545" spans="1:15" x14ac:dyDescent="0.25">
      <c r="A545" s="1">
        <v>45888</v>
      </c>
      <c r="B545">
        <v>-0.54927061549129297</v>
      </c>
      <c r="C545">
        <v>-1.3873389864221199</v>
      </c>
      <c r="D545">
        <v>-0.14292562793572999</v>
      </c>
      <c r="E545">
        <v>-0.219632059745555</v>
      </c>
      <c r="F545" s="3">
        <v>-0.238898789274055</v>
      </c>
      <c r="G545" t="str">
        <f t="shared" si="52"/>
        <v>sell</v>
      </c>
      <c r="H545">
        <f t="shared" si="53"/>
        <v>0</v>
      </c>
      <c r="I545" t="str">
        <f t="shared" si="54"/>
        <v>sell</v>
      </c>
      <c r="J545">
        <f t="shared" si="50"/>
        <v>0</v>
      </c>
      <c r="K545">
        <f t="shared" si="51"/>
        <v>1</v>
      </c>
      <c r="L545">
        <f t="shared" si="55"/>
        <v>0</v>
      </c>
      <c r="M545">
        <f>IF(I545="sell",N544+(N544*E545/100),IF(I545="buy",0,M544))</f>
        <v>1955.0803458628618</v>
      </c>
      <c r="N545">
        <f>IF(I545="buy",M544,IF(I545="sell",0,IF(AND(I545="keep",N544&lt;&gt;0),N544+(N544*E544/100),N544)))</f>
        <v>0</v>
      </c>
      <c r="O545">
        <f>O544+(O544*E545/100)</f>
        <v>1978.4442491720351</v>
      </c>
    </row>
    <row r="546" spans="1:15" x14ac:dyDescent="0.25">
      <c r="A546" s="1">
        <v>45889</v>
      </c>
      <c r="B546">
        <v>0.90541440466571599</v>
      </c>
      <c r="C546">
        <v>-0.57815074281287704</v>
      </c>
      <c r="D546">
        <v>-1.97346241858501</v>
      </c>
      <c r="E546">
        <v>0.50627237660423297</v>
      </c>
      <c r="F546" s="3">
        <v>-8.9516611685391601E-2</v>
      </c>
      <c r="G546" t="str">
        <f t="shared" si="52"/>
        <v>keep</v>
      </c>
      <c r="H546">
        <f t="shared" si="53"/>
        <v>1</v>
      </c>
      <c r="I546" t="str">
        <f t="shared" si="54"/>
        <v>keep</v>
      </c>
      <c r="J546">
        <f t="shared" si="50"/>
        <v>0</v>
      </c>
      <c r="K546">
        <f t="shared" si="51"/>
        <v>0</v>
      </c>
      <c r="L546">
        <f t="shared" si="55"/>
        <v>0</v>
      </c>
      <c r="M546">
        <f>IF(I546="sell",N545+(N545*E546/100),IF(I546="buy",0,M545))</f>
        <v>1955.0803458628618</v>
      </c>
      <c r="N546">
        <f>IF(I546="buy",M545,IF(I546="sell",0,IF(AND(I546="keep",N545&lt;&gt;0),N545+(N545*E545/100),N545)))</f>
        <v>0</v>
      </c>
      <c r="O546">
        <f>O545+(O545*E546/100)</f>
        <v>1988.4605658921082</v>
      </c>
    </row>
    <row r="547" spans="1:15" x14ac:dyDescent="0.25">
      <c r="A547" s="1">
        <v>45890</v>
      </c>
      <c r="B547">
        <v>-0.19441287880170799</v>
      </c>
      <c r="C547">
        <v>-0.46018155577471898</v>
      </c>
      <c r="D547">
        <v>-0.49112529283770101</v>
      </c>
      <c r="E547">
        <v>-0.67893424075117204</v>
      </c>
      <c r="F547" s="3">
        <v>-8.5070031636544793E-2</v>
      </c>
      <c r="G547" t="str">
        <f t="shared" si="52"/>
        <v>keep</v>
      </c>
      <c r="H547">
        <f t="shared" si="53"/>
        <v>0</v>
      </c>
      <c r="I547" t="str">
        <f t="shared" si="54"/>
        <v>keep</v>
      </c>
      <c r="J547">
        <f t="shared" si="50"/>
        <v>0</v>
      </c>
      <c r="K547">
        <f t="shared" si="51"/>
        <v>0</v>
      </c>
      <c r="L547">
        <f t="shared" si="55"/>
        <v>0</v>
      </c>
      <c r="M547">
        <f>IF(I547="sell",N546+(N546*E547/100),IF(I547="buy",0,M546))</f>
        <v>1955.0803458628618</v>
      </c>
      <c r="N547">
        <f>IF(I547="buy",M546,IF(I547="sell",0,IF(AND(I547="keep",N546&lt;&gt;0),N546+(N546*E546/100),N546)))</f>
        <v>0</v>
      </c>
      <c r="O547">
        <f>O546+(O546*E547/100)</f>
        <v>1974.9602262464321</v>
      </c>
    </row>
    <row r="548" spans="1:15" x14ac:dyDescent="0.25">
      <c r="A548" s="1">
        <v>45891</v>
      </c>
      <c r="B548">
        <v>1.1237975695243601</v>
      </c>
      <c r="C548">
        <v>1.5362982921513799</v>
      </c>
      <c r="D548">
        <v>1.27167334068059</v>
      </c>
      <c r="E548">
        <v>1.1025358695112699</v>
      </c>
      <c r="F548" s="3">
        <v>0.72541704227201997</v>
      </c>
      <c r="G548" t="str">
        <f t="shared" si="52"/>
        <v>buy</v>
      </c>
      <c r="H548">
        <f t="shared" si="53"/>
        <v>0</v>
      </c>
      <c r="I548" t="str">
        <f t="shared" si="54"/>
        <v>buy</v>
      </c>
      <c r="J548">
        <f t="shared" si="50"/>
        <v>1</v>
      </c>
      <c r="K548">
        <f t="shared" si="51"/>
        <v>0</v>
      </c>
      <c r="L548">
        <f t="shared" si="55"/>
        <v>0</v>
      </c>
      <c r="M548">
        <f>IF(I548="sell",N547+(N547*E548/100),IF(I548="buy",0,M547))</f>
        <v>0</v>
      </c>
      <c r="N548">
        <f>IF(I548="buy",M547,IF(I548="sell",0,IF(AND(I548="keep",N547&lt;&gt;0),N547+(N547*E547/100),N547)))</f>
        <v>1955.0803458628618</v>
      </c>
      <c r="O548">
        <f>O547+(O547*E548/100)</f>
        <v>1996.7348711493798</v>
      </c>
    </row>
    <row r="549" spans="1:15" x14ac:dyDescent="0.25">
      <c r="A549" s="1">
        <v>45894</v>
      </c>
      <c r="B549">
        <v>-1.7776598298513399E-2</v>
      </c>
      <c r="C549">
        <v>-0.30857689158465501</v>
      </c>
      <c r="D549">
        <v>-0.26343172888077998</v>
      </c>
      <c r="E549">
        <v>-1.8102465517548301</v>
      </c>
      <c r="F549" s="3">
        <v>6.2822229140699001E-3</v>
      </c>
      <c r="G549" t="str">
        <f t="shared" si="52"/>
        <v>keep</v>
      </c>
      <c r="H549">
        <f t="shared" si="53"/>
        <v>0</v>
      </c>
      <c r="I549" t="str">
        <f t="shared" si="54"/>
        <v>keep</v>
      </c>
      <c r="J549">
        <f t="shared" si="50"/>
        <v>0</v>
      </c>
      <c r="K549">
        <f t="shared" si="51"/>
        <v>0</v>
      </c>
      <c r="L549">
        <f t="shared" si="55"/>
        <v>0</v>
      </c>
      <c r="M549">
        <f>IF(I549="sell",N548+(N548*E549/100),IF(I549="buy",0,M548))</f>
        <v>0</v>
      </c>
      <c r="N549">
        <f>IF(I549="buy",M548,IF(I549="sell",0,IF(AND(I549="keep",N548&lt;&gt;0),N548+(N548*E548/100),N548)))</f>
        <v>1976.6358079537649</v>
      </c>
      <c r="O549">
        <f>O548+(O548*E549/100)</f>
        <v>1960.5890469967119</v>
      </c>
    </row>
    <row r="550" spans="1:15" x14ac:dyDescent="0.25">
      <c r="A550" s="1">
        <v>45895</v>
      </c>
      <c r="B550">
        <v>0.43867593259612198</v>
      </c>
      <c r="C550">
        <v>0.42551587838897098</v>
      </c>
      <c r="D550">
        <v>0.94646985020916397</v>
      </c>
      <c r="E550">
        <v>-1.0884088704674699</v>
      </c>
      <c r="F550" s="3">
        <v>0.37431327647724499</v>
      </c>
      <c r="G550" t="str">
        <f t="shared" si="52"/>
        <v>buy</v>
      </c>
      <c r="H550">
        <f t="shared" si="53"/>
        <v>0</v>
      </c>
      <c r="I550" t="str">
        <f t="shared" si="54"/>
        <v>keep</v>
      </c>
      <c r="J550">
        <f t="shared" si="50"/>
        <v>0</v>
      </c>
      <c r="K550">
        <f t="shared" si="51"/>
        <v>0</v>
      </c>
      <c r="L550">
        <f t="shared" si="55"/>
        <v>0</v>
      </c>
      <c r="M550">
        <f>IF(I550="sell",N549+(N549*E550/100),IF(I550="buy",0,M549))</f>
        <v>0</v>
      </c>
      <c r="N550">
        <f>IF(I550="buy",M549,IF(I550="sell",0,IF(AND(I550="keep",N549&lt;&gt;0),N549+(N549*E549/100),N549)))</f>
        <v>1940.8538263995306</v>
      </c>
      <c r="O550">
        <f>O549+(O549*E550/100)</f>
        <v>1939.249821895786</v>
      </c>
    </row>
    <row r="551" spans="1:15" x14ac:dyDescent="0.25">
      <c r="A551" s="1">
        <v>45896</v>
      </c>
      <c r="B551">
        <v>0.47217138461002001</v>
      </c>
      <c r="C551">
        <v>0.17241253345385801</v>
      </c>
      <c r="D551">
        <v>0.51458999650049098</v>
      </c>
      <c r="E551">
        <v>-0.853351142678759</v>
      </c>
      <c r="F551" s="3">
        <v>0.280212241058726</v>
      </c>
      <c r="G551" t="str">
        <f t="shared" si="52"/>
        <v>buy</v>
      </c>
      <c r="H551">
        <f t="shared" si="53"/>
        <v>0</v>
      </c>
      <c r="I551" t="str">
        <f t="shared" si="54"/>
        <v>keep</v>
      </c>
      <c r="J551">
        <f t="shared" si="50"/>
        <v>0</v>
      </c>
      <c r="K551">
        <f t="shared" si="51"/>
        <v>0</v>
      </c>
      <c r="L551">
        <f t="shared" si="55"/>
        <v>0</v>
      </c>
      <c r="M551">
        <f>IF(I551="sell",N550+(N550*E551/100),IF(I551="buy",0,M550))</f>
        <v>0</v>
      </c>
      <c r="N551">
        <f>IF(I551="buy",M550,IF(I551="sell",0,IF(AND(I551="keep",N550&lt;&gt;0),N550+(N550*E550/100),N550)))</f>
        <v>1919.7294011901909</v>
      </c>
      <c r="O551">
        <f>O550+(O550*E551/100)</f>
        <v>1922.7012113812425</v>
      </c>
    </row>
    <row r="552" spans="1:15" x14ac:dyDescent="0.25">
      <c r="A552" s="1">
        <v>45897</v>
      </c>
      <c r="B552">
        <v>0.79891765234336698</v>
      </c>
      <c r="C552">
        <v>0.583894116511118</v>
      </c>
      <c r="D552">
        <v>0.898085743041243</v>
      </c>
      <c r="E552">
        <v>-4.5301148521925599E-2</v>
      </c>
      <c r="F552" s="3">
        <v>0.45698701969321398</v>
      </c>
      <c r="G552" t="str">
        <f t="shared" si="52"/>
        <v>buy</v>
      </c>
      <c r="H552">
        <f t="shared" si="53"/>
        <v>1</v>
      </c>
      <c r="I552" t="str">
        <f t="shared" si="54"/>
        <v>keep</v>
      </c>
      <c r="J552">
        <f t="shared" si="50"/>
        <v>0</v>
      </c>
      <c r="K552">
        <f t="shared" si="51"/>
        <v>0</v>
      </c>
      <c r="L552">
        <f t="shared" si="55"/>
        <v>0</v>
      </c>
      <c r="M552">
        <f>IF(I552="sell",N551+(N551*E552/100),IF(I552="buy",0,M551))</f>
        <v>0</v>
      </c>
      <c r="N552">
        <f>IF(I552="buy",M551,IF(I552="sell",0,IF(AND(I552="keep",N551&lt;&gt;0),N551+(N551*E551/100),N551)))</f>
        <v>1903.3473684087942</v>
      </c>
      <c r="O552">
        <f>O551+(O551*E552/100)</f>
        <v>1921.8302056498419</v>
      </c>
    </row>
    <row r="553" spans="1:15" x14ac:dyDescent="0.25">
      <c r="A553" s="1">
        <v>45898</v>
      </c>
      <c r="B553">
        <v>1.2209307578411499</v>
      </c>
      <c r="C553">
        <v>-1.2151366420004399</v>
      </c>
      <c r="D553">
        <v>-0.18060207961334501</v>
      </c>
      <c r="E553">
        <v>0.61182971046596002</v>
      </c>
      <c r="F553" s="3">
        <v>0.14259197935975901</v>
      </c>
      <c r="G553" t="str">
        <f t="shared" si="52"/>
        <v>keep</v>
      </c>
      <c r="H553">
        <f t="shared" si="53"/>
        <v>1</v>
      </c>
      <c r="I553" t="str">
        <f t="shared" si="54"/>
        <v>keep</v>
      </c>
      <c r="J553">
        <f t="shared" si="50"/>
        <v>0</v>
      </c>
      <c r="K553">
        <f t="shared" si="51"/>
        <v>0</v>
      </c>
      <c r="L553">
        <f t="shared" si="55"/>
        <v>0</v>
      </c>
      <c r="M553">
        <f>IF(I553="sell",N552+(N552*E553/100),IF(I553="buy",0,M552))</f>
        <v>0</v>
      </c>
      <c r="N553">
        <f>IF(I553="buy",M552,IF(I553="sell",0,IF(AND(I553="keep",N552&lt;&gt;0),N552+(N552*E552/100),N552)))</f>
        <v>1902.4851301905433</v>
      </c>
      <c r="O553">
        <f>O552+(O552*E553/100)</f>
        <v>1933.5885338327166</v>
      </c>
    </row>
    <row r="554" spans="1:15" x14ac:dyDescent="0.25">
      <c r="A554" s="1">
        <v>45903</v>
      </c>
      <c r="B554">
        <v>1.2340127918300401</v>
      </c>
      <c r="C554">
        <v>0.79088116621637194</v>
      </c>
      <c r="D554">
        <v>3.8089871578786201</v>
      </c>
      <c r="E554">
        <v>0.37011299816411802</v>
      </c>
      <c r="F554" s="3">
        <v>1.00486538139047</v>
      </c>
      <c r="G554" t="str">
        <f t="shared" si="52"/>
        <v>buy</v>
      </c>
      <c r="H554">
        <f t="shared" si="53"/>
        <v>0</v>
      </c>
      <c r="I554" t="str">
        <f t="shared" si="54"/>
        <v>keep</v>
      </c>
      <c r="J554">
        <f t="shared" si="50"/>
        <v>0</v>
      </c>
      <c r="K554">
        <f t="shared" si="51"/>
        <v>0</v>
      </c>
      <c r="L554">
        <f t="shared" si="55"/>
        <v>0</v>
      </c>
      <c r="M554">
        <f>IF(I554="sell",N553+(N553*E554/100),IF(I554="buy",0,M553))</f>
        <v>0</v>
      </c>
      <c r="N554">
        <f>IF(I554="buy",M553,IF(I554="sell",0,IF(AND(I554="keep",N553&lt;&gt;0),N553+(N553*E553/100),N553)))</f>
        <v>1914.1250994542461</v>
      </c>
      <c r="O554">
        <f>O553+(O553*E554/100)</f>
        <v>1940.7449963274425</v>
      </c>
    </row>
    <row r="555" spans="1:15" x14ac:dyDescent="0.25">
      <c r="A555" s="1">
        <v>45904</v>
      </c>
      <c r="B555">
        <v>-0.76254877869554805</v>
      </c>
      <c r="C555">
        <v>0.93175918917607303</v>
      </c>
      <c r="D555">
        <v>0.54932882263027905</v>
      </c>
      <c r="E555">
        <v>-0.57616963244218</v>
      </c>
      <c r="F555" s="3">
        <v>0.13818011656380699</v>
      </c>
      <c r="G555" t="str">
        <f t="shared" si="52"/>
        <v>keep</v>
      </c>
      <c r="H555">
        <f t="shared" si="53"/>
        <v>1</v>
      </c>
      <c r="I555" t="str">
        <f t="shared" si="54"/>
        <v>keep</v>
      </c>
      <c r="J555">
        <f t="shared" si="50"/>
        <v>0</v>
      </c>
      <c r="K555">
        <f t="shared" si="51"/>
        <v>0</v>
      </c>
      <c r="L555">
        <f t="shared" si="55"/>
        <v>0</v>
      </c>
      <c r="M555">
        <f>IF(I555="sell",N554+(N554*E555/100),IF(I555="buy",0,M554))</f>
        <v>0</v>
      </c>
      <c r="N555">
        <f>IF(I555="buy",M554,IF(I555="sell",0,IF(AND(I555="keep",N554&lt;&gt;0),N554+(N554*E554/100),N554)))</f>
        <v>1921.209525248448</v>
      </c>
      <c r="O555">
        <f>O554+(O554*E555/100)</f>
        <v>1929.5630130154627</v>
      </c>
    </row>
    <row r="556" spans="1:15" x14ac:dyDescent="0.25">
      <c r="A556" s="1">
        <v>45905</v>
      </c>
      <c r="B556">
        <v>1.32929221197715</v>
      </c>
      <c r="C556">
        <v>8.2214189782381306E-2</v>
      </c>
      <c r="D556">
        <v>-3.7531045761318702E-2</v>
      </c>
      <c r="E556">
        <v>1.5067258578470799</v>
      </c>
      <c r="F556" s="3">
        <v>0.35318459719440498</v>
      </c>
      <c r="G556" t="str">
        <f t="shared" si="52"/>
        <v>buy</v>
      </c>
      <c r="H556">
        <f t="shared" si="53"/>
        <v>1</v>
      </c>
      <c r="I556" t="str">
        <f t="shared" si="54"/>
        <v>keep</v>
      </c>
      <c r="J556">
        <f t="shared" si="50"/>
        <v>0</v>
      </c>
      <c r="K556">
        <f t="shared" si="51"/>
        <v>0</v>
      </c>
      <c r="L556">
        <f t="shared" si="55"/>
        <v>0</v>
      </c>
      <c r="M556">
        <f>IF(I556="sell",N555+(N555*E556/100),IF(I556="buy",0,M555))</f>
        <v>0</v>
      </c>
      <c r="N556">
        <f>IF(I556="buy",M555,IF(I556="sell",0,IF(AND(I556="keep",N555&lt;&gt;0),N555+(N555*E555/100),N555)))</f>
        <v>1910.1400993883799</v>
      </c>
      <c r="O556">
        <f>O555+(O555*E556/100)</f>
        <v>1958.63623787602</v>
      </c>
    </row>
    <row r="557" spans="1:15" x14ac:dyDescent="0.25">
      <c r="A557" s="1">
        <v>45908</v>
      </c>
      <c r="B557">
        <v>0.689143884115761</v>
      </c>
      <c r="C557">
        <v>0.46448201819826401</v>
      </c>
      <c r="D557">
        <v>-0.75514026505005805</v>
      </c>
      <c r="E557">
        <v>2.2832430518770999E-2</v>
      </c>
      <c r="F557" s="3">
        <v>0.17817550612932401</v>
      </c>
      <c r="G557" t="str">
        <f t="shared" si="52"/>
        <v>buy</v>
      </c>
      <c r="H557">
        <f t="shared" si="53"/>
        <v>0</v>
      </c>
      <c r="I557" t="str">
        <f t="shared" si="54"/>
        <v>keep</v>
      </c>
      <c r="J557">
        <f t="shared" si="50"/>
        <v>0</v>
      </c>
      <c r="K557">
        <f t="shared" si="51"/>
        <v>0</v>
      </c>
      <c r="L557">
        <f t="shared" si="55"/>
        <v>0</v>
      </c>
      <c r="M557">
        <f>IF(I557="sell",N556+(N556*E557/100),IF(I557="buy",0,M556))</f>
        <v>0</v>
      </c>
      <c r="N557">
        <f>IF(I557="buy",M556,IF(I557="sell",0,IF(AND(I557="keep",N556&lt;&gt;0),N556+(N556*E556/100),N556)))</f>
        <v>1938.9206741869705</v>
      </c>
      <c r="O557">
        <f>O556+(O556*E557/100)</f>
        <v>1959.0834421341485</v>
      </c>
    </row>
    <row r="558" spans="1:15" x14ac:dyDescent="0.25">
      <c r="A558" s="1">
        <v>45909</v>
      </c>
      <c r="B558">
        <v>0.14293040412012201</v>
      </c>
      <c r="C558">
        <v>0.32614686899827799</v>
      </c>
      <c r="D558">
        <v>-1.4839412310012801</v>
      </c>
      <c r="E558">
        <v>-0.34246053377718899</v>
      </c>
      <c r="F558" s="3">
        <v>-5.33658851089839E-2</v>
      </c>
      <c r="G558" t="str">
        <f t="shared" si="52"/>
        <v>keep</v>
      </c>
      <c r="H558">
        <f t="shared" si="53"/>
        <v>0</v>
      </c>
      <c r="I558" t="str">
        <f t="shared" si="54"/>
        <v>keep</v>
      </c>
      <c r="J558">
        <f t="shared" si="50"/>
        <v>0</v>
      </c>
      <c r="K558">
        <f t="shared" si="51"/>
        <v>0</v>
      </c>
      <c r="L558">
        <f t="shared" si="55"/>
        <v>0</v>
      </c>
      <c r="M558">
        <f>IF(I558="sell",N557+(N557*E558/100),IF(I558="buy",0,M557))</f>
        <v>0</v>
      </c>
      <c r="N558">
        <f>IF(I558="buy",M557,IF(I558="sell",0,IF(AND(I558="keep",N557&lt;&gt;0),N557+(N557*E557/100),N557)))</f>
        <v>1939.3633769027183</v>
      </c>
      <c r="O558">
        <f>O557+(O557*E558/100)</f>
        <v>1952.3743545210755</v>
      </c>
    </row>
    <row r="559" spans="1:15" x14ac:dyDescent="0.25">
      <c r="A559" s="1">
        <v>45910</v>
      </c>
      <c r="B559">
        <v>8.2356331925437006E-3</v>
      </c>
      <c r="C559">
        <v>3.9718242978969899E-2</v>
      </c>
      <c r="D559">
        <v>-3.2259483632404802</v>
      </c>
      <c r="E559">
        <v>0.137451446727165</v>
      </c>
      <c r="F559" s="3">
        <v>-0.36536485187641898</v>
      </c>
      <c r="G559" t="str">
        <f t="shared" si="52"/>
        <v>sell</v>
      </c>
      <c r="H559">
        <f t="shared" si="53"/>
        <v>0</v>
      </c>
      <c r="I559" t="str">
        <f t="shared" si="54"/>
        <v>sell</v>
      </c>
      <c r="J559">
        <f t="shared" si="50"/>
        <v>0</v>
      </c>
      <c r="K559">
        <f t="shared" si="51"/>
        <v>1</v>
      </c>
      <c r="L559">
        <f t="shared" si="55"/>
        <v>0</v>
      </c>
      <c r="M559">
        <f>IF(I559="sell",N558+(N558*E559/100),IF(I559="buy",0,M558))</f>
        <v>1942.029059921568</v>
      </c>
      <c r="N559">
        <f>IF(I559="buy",M558,IF(I559="sell",0,IF(AND(I559="keep",N558&lt;&gt;0),N558+(N558*E558/100),N558)))</f>
        <v>0</v>
      </c>
      <c r="O559">
        <f>O558+(O558*E559/100)</f>
        <v>1955.0579213168949</v>
      </c>
    </row>
    <row r="560" spans="1:15" x14ac:dyDescent="0.25">
      <c r="A560" s="1">
        <v>45911</v>
      </c>
      <c r="B560">
        <v>-0.18388942619718099</v>
      </c>
      <c r="C560">
        <v>0.60081930575375198</v>
      </c>
      <c r="D560">
        <v>1.4286344459361699</v>
      </c>
      <c r="E560">
        <v>1.05238868475763</v>
      </c>
      <c r="F560" s="3">
        <v>0.332668951397386</v>
      </c>
      <c r="G560" t="str">
        <f t="shared" si="52"/>
        <v>buy</v>
      </c>
      <c r="H560">
        <f t="shared" si="53"/>
        <v>1</v>
      </c>
      <c r="I560" t="str">
        <f t="shared" si="54"/>
        <v>buy</v>
      </c>
      <c r="J560">
        <f t="shared" si="50"/>
        <v>1</v>
      </c>
      <c r="K560">
        <f t="shared" si="51"/>
        <v>0</v>
      </c>
      <c r="L560">
        <f t="shared" si="55"/>
        <v>1</v>
      </c>
      <c r="M560">
        <f>IF(I560="sell",N559+(N559*E560/100),IF(I560="buy",0,M559))</f>
        <v>0</v>
      </c>
      <c r="N560">
        <f>IF(I560="buy",M559,IF(I560="sell",0,IF(AND(I560="keep",N559&lt;&gt;0),N559+(N559*E559/100),N559)))</f>
        <v>1942.029059921568</v>
      </c>
      <c r="O560">
        <f>O559+(O559*E560/100)</f>
        <v>1975.6327296612917</v>
      </c>
    </row>
    <row r="561" spans="1:15" x14ac:dyDescent="0.25">
      <c r="A561" s="1">
        <v>45912</v>
      </c>
      <c r="B561">
        <v>0.34369931358144701</v>
      </c>
      <c r="C561">
        <v>0.41524916048603</v>
      </c>
      <c r="D561">
        <v>1.75629916538773</v>
      </c>
      <c r="E561">
        <v>1.1319900854139799</v>
      </c>
      <c r="F561" s="3">
        <v>0.45595406630477298</v>
      </c>
      <c r="G561" t="str">
        <f t="shared" si="52"/>
        <v>buy</v>
      </c>
      <c r="H561">
        <f t="shared" si="53"/>
        <v>1</v>
      </c>
      <c r="I561" t="str">
        <f t="shared" si="54"/>
        <v>keep</v>
      </c>
      <c r="J561">
        <f t="shared" si="50"/>
        <v>0</v>
      </c>
      <c r="K561">
        <f t="shared" si="51"/>
        <v>0</v>
      </c>
      <c r="L561">
        <f t="shared" si="55"/>
        <v>0</v>
      </c>
      <c r="M561">
        <f>IF(I561="sell",N560+(N560*E561/100),IF(I561="buy",0,M560))</f>
        <v>0</v>
      </c>
      <c r="N561">
        <f>IF(I561="buy",M560,IF(I561="sell",0,IF(AND(I561="keep",N560&lt;&gt;0),N560+(N560*E560/100),N560)))</f>
        <v>1962.4667540028875</v>
      </c>
      <c r="O561">
        <f>O560+(O560*E561/100)</f>
        <v>1997.9966962852511</v>
      </c>
    </row>
    <row r="562" spans="1:15" x14ac:dyDescent="0.25">
      <c r="A562" s="1">
        <v>45915</v>
      </c>
      <c r="B562">
        <v>0.89877924332326598</v>
      </c>
      <c r="C562">
        <v>0.83674356015763696</v>
      </c>
      <c r="D562">
        <v>1.1235905200573399</v>
      </c>
      <c r="E562">
        <v>0.94023282036883604</v>
      </c>
      <c r="F562" s="3">
        <v>0.53904929142966995</v>
      </c>
      <c r="G562" t="str">
        <f t="shared" si="52"/>
        <v>buy</v>
      </c>
      <c r="H562">
        <f t="shared" si="53"/>
        <v>0</v>
      </c>
      <c r="I562" t="str">
        <f t="shared" si="54"/>
        <v>keep</v>
      </c>
      <c r="J562">
        <f t="shared" si="50"/>
        <v>0</v>
      </c>
      <c r="K562">
        <f t="shared" si="51"/>
        <v>0</v>
      </c>
      <c r="L562">
        <f t="shared" si="55"/>
        <v>0</v>
      </c>
      <c r="M562">
        <f>IF(I562="sell",N561+(N561*E562/100),IF(I562="buy",0,M561))</f>
        <v>0</v>
      </c>
      <c r="N562">
        <f>IF(I562="buy",M561,IF(I562="sell",0,IF(AND(I562="keep",N561&lt;&gt;0),N561+(N561*E561/100),N561)))</f>
        <v>1984.6816830877458</v>
      </c>
      <c r="O562">
        <f>O561+(O561*E562/100)</f>
        <v>2016.7825169736102</v>
      </c>
    </row>
    <row r="563" spans="1:15" x14ac:dyDescent="0.25">
      <c r="A563" s="1">
        <v>45916</v>
      </c>
      <c r="B563">
        <v>0.18195511543967999</v>
      </c>
      <c r="C563">
        <v>-8.0388055873681294E-2</v>
      </c>
      <c r="D563">
        <v>0.612588682915293</v>
      </c>
      <c r="E563">
        <v>-1.13106746464256</v>
      </c>
      <c r="F563" s="3">
        <v>0.19455339995936699</v>
      </c>
      <c r="G563" t="str">
        <f t="shared" si="52"/>
        <v>buy</v>
      </c>
      <c r="H563">
        <f t="shared" si="53"/>
        <v>0</v>
      </c>
      <c r="I563" t="str">
        <f t="shared" si="54"/>
        <v>keep</v>
      </c>
      <c r="J563">
        <f t="shared" si="50"/>
        <v>0</v>
      </c>
      <c r="K563">
        <f t="shared" si="51"/>
        <v>0</v>
      </c>
      <c r="L563">
        <f t="shared" si="55"/>
        <v>0</v>
      </c>
      <c r="M563">
        <f>IF(I563="sell",N562+(N562*E563/100),IF(I563="buy",0,M562))</f>
        <v>0</v>
      </c>
      <c r="N563">
        <f>IF(I563="buy",M562,IF(I563="sell",0,IF(AND(I563="keep",N562&lt;&gt;0),N562+(N562*E562/100),N562)))</f>
        <v>2003.3423116519855</v>
      </c>
      <c r="O563">
        <f>O562+(O562*E563/100)</f>
        <v>1993.9713460915223</v>
      </c>
    </row>
    <row r="564" spans="1:15" x14ac:dyDescent="0.25">
      <c r="A564" s="1">
        <v>45917</v>
      </c>
      <c r="B564">
        <v>-0.19246533393638601</v>
      </c>
      <c r="C564">
        <v>-0.20828881170376001</v>
      </c>
      <c r="D564">
        <v>0.352725768253425</v>
      </c>
      <c r="E564">
        <v>-0.76267415572658304</v>
      </c>
      <c r="F564" s="3">
        <v>6.6661426437315305E-2</v>
      </c>
      <c r="G564" t="str">
        <f t="shared" si="52"/>
        <v>keep</v>
      </c>
      <c r="H564">
        <f t="shared" si="53"/>
        <v>0</v>
      </c>
      <c r="I564" t="str">
        <f t="shared" si="54"/>
        <v>keep</v>
      </c>
      <c r="J564">
        <f t="shared" si="50"/>
        <v>0</v>
      </c>
      <c r="K564">
        <f t="shared" si="51"/>
        <v>0</v>
      </c>
      <c r="L564">
        <f t="shared" si="55"/>
        <v>0</v>
      </c>
      <c r="M564">
        <f>IF(I564="sell",N563+(N563*E564/100),IF(I564="buy",0,M563))</f>
        <v>0</v>
      </c>
      <c r="N564">
        <f>IF(I564="buy",M563,IF(I564="sell",0,IF(AND(I564="keep",N563&lt;&gt;0),N563+(N563*E563/100),N563)))</f>
        <v>1980.6831585594716</v>
      </c>
      <c r="O564">
        <f>O563+(O563*E564/100)</f>
        <v>1978.7638419622888</v>
      </c>
    </row>
    <row r="565" spans="1:15" x14ac:dyDescent="0.25">
      <c r="A565" s="1">
        <v>45918</v>
      </c>
      <c r="B565">
        <v>-1.0348225637178901</v>
      </c>
      <c r="C565">
        <v>0.954442436699798</v>
      </c>
      <c r="D565">
        <v>-0.46445769076429699</v>
      </c>
      <c r="E565">
        <v>-0.655517415290918</v>
      </c>
      <c r="F565" s="3">
        <v>-4.0340546429458203E-2</v>
      </c>
      <c r="G565" t="str">
        <f t="shared" si="52"/>
        <v>keep</v>
      </c>
      <c r="H565">
        <f t="shared" si="53"/>
        <v>0</v>
      </c>
      <c r="I565" t="str">
        <f t="shared" si="54"/>
        <v>keep</v>
      </c>
      <c r="J565">
        <f t="shared" si="50"/>
        <v>0</v>
      </c>
      <c r="K565">
        <f t="shared" si="51"/>
        <v>0</v>
      </c>
      <c r="L565">
        <f t="shared" si="55"/>
        <v>0</v>
      </c>
      <c r="M565">
        <f>IF(I565="sell",N564+(N564*E565/100),IF(I565="buy",0,M564))</f>
        <v>0</v>
      </c>
      <c r="N565">
        <f>IF(I565="buy",M564,IF(I565="sell",0,IF(AND(I565="keep",N564&lt;&gt;0),N564+(N564*E564/100),N564)))</f>
        <v>1965.5770000023097</v>
      </c>
      <c r="O565">
        <f>O564+(O564*E565/100)</f>
        <v>1965.7927003707464</v>
      </c>
    </row>
    <row r="566" spans="1:15" x14ac:dyDescent="0.25">
      <c r="A566" s="1">
        <v>45919</v>
      </c>
      <c r="B566">
        <v>0.76296207702788399</v>
      </c>
      <c r="C566">
        <v>0.700716178320681</v>
      </c>
      <c r="D566">
        <v>3.2032913063739699</v>
      </c>
      <c r="E566">
        <v>0.546070215252214</v>
      </c>
      <c r="F566" s="3">
        <v>0.76462343786471598</v>
      </c>
      <c r="G566" t="str">
        <f t="shared" si="52"/>
        <v>buy</v>
      </c>
      <c r="H566">
        <f t="shared" si="53"/>
        <v>0</v>
      </c>
      <c r="I566" t="str">
        <f t="shared" si="54"/>
        <v>keep</v>
      </c>
      <c r="J566">
        <f t="shared" si="50"/>
        <v>0</v>
      </c>
      <c r="K566">
        <f t="shared" si="51"/>
        <v>0</v>
      </c>
      <c r="L566">
        <f t="shared" si="55"/>
        <v>0</v>
      </c>
      <c r="M566">
        <f>IF(I566="sell",N565+(N565*E566/100),IF(I566="buy",0,M565))</f>
        <v>0</v>
      </c>
      <c r="N566">
        <f>IF(I566="buy",M565,IF(I566="sell",0,IF(AND(I566="keep",N565&lt;&gt;0),N565+(N565*E565/100),N565)))</f>
        <v>1952.6923004563419</v>
      </c>
      <c r="O566">
        <f>O565+(O565*E566/100)</f>
        <v>1976.5273088010733</v>
      </c>
    </row>
    <row r="567" spans="1:15" x14ac:dyDescent="0.25">
      <c r="A567" s="1">
        <v>45922</v>
      </c>
      <c r="B567">
        <v>1.88478690376889</v>
      </c>
      <c r="C567">
        <v>0.54746586467691005</v>
      </c>
      <c r="D567">
        <v>4.3095700465100597</v>
      </c>
      <c r="E567">
        <v>-0.63362477483228596</v>
      </c>
      <c r="F567" s="3">
        <v>1.08292724724835</v>
      </c>
      <c r="G567" t="str">
        <f t="shared" si="52"/>
        <v>buy</v>
      </c>
      <c r="H567">
        <f t="shared" si="53"/>
        <v>0</v>
      </c>
      <c r="I567" t="str">
        <f t="shared" si="54"/>
        <v>keep</v>
      </c>
      <c r="J567">
        <f t="shared" si="50"/>
        <v>0</v>
      </c>
      <c r="K567">
        <f t="shared" si="51"/>
        <v>0</v>
      </c>
      <c r="L567">
        <f t="shared" si="55"/>
        <v>0</v>
      </c>
      <c r="M567">
        <f>IF(I567="sell",N566+(N566*E567/100),IF(I567="buy",0,M566))</f>
        <v>0</v>
      </c>
      <c r="N567">
        <f>IF(I567="buy",M566,IF(I567="sell",0,IF(AND(I567="keep",N566&lt;&gt;0),N566+(N566*E566/100),N566)))</f>
        <v>1963.3553715046571</v>
      </c>
      <c r="O567">
        <f>O566+(O566*E567/100)</f>
        <v>1964.0035420911838</v>
      </c>
    </row>
    <row r="568" spans="1:15" x14ac:dyDescent="0.25">
      <c r="A568" s="1">
        <v>45923</v>
      </c>
      <c r="B568">
        <v>1.0666492101799101</v>
      </c>
      <c r="C568">
        <v>-0.73058388971851596</v>
      </c>
      <c r="D568">
        <v>-0.64432589247238603</v>
      </c>
      <c r="E568">
        <v>-0.15941629484734701</v>
      </c>
      <c r="F568" s="3">
        <v>8.5904249476191005E-2</v>
      </c>
      <c r="G568" t="str">
        <f t="shared" si="52"/>
        <v>keep</v>
      </c>
      <c r="H568">
        <f t="shared" si="53"/>
        <v>0</v>
      </c>
      <c r="I568" t="str">
        <f t="shared" si="54"/>
        <v>keep</v>
      </c>
      <c r="J568">
        <f t="shared" si="50"/>
        <v>0</v>
      </c>
      <c r="K568">
        <f t="shared" si="51"/>
        <v>0</v>
      </c>
      <c r="L568">
        <f t="shared" si="55"/>
        <v>0</v>
      </c>
      <c r="M568">
        <f>IF(I568="sell",N567+(N567*E568/100),IF(I568="buy",0,M567))</f>
        <v>0</v>
      </c>
      <c r="N568">
        <f>IF(I568="buy",M567,IF(I568="sell",0,IF(AND(I568="keep",N567&lt;&gt;0),N567+(N567*E567/100),N567)))</f>
        <v>1950.9150654528032</v>
      </c>
      <c r="O568">
        <f>O567+(O567*E568/100)</f>
        <v>1960.8726004137113</v>
      </c>
    </row>
    <row r="569" spans="1:15" x14ac:dyDescent="0.25">
      <c r="A569" s="1">
        <v>45924</v>
      </c>
      <c r="B569">
        <v>-1.2828651205417601</v>
      </c>
      <c r="C569">
        <v>-0.311631732483796</v>
      </c>
      <c r="D569">
        <v>-0.83323648399440398</v>
      </c>
      <c r="E569">
        <v>-6.8427872245580001E-2</v>
      </c>
      <c r="F569" s="3">
        <v>-0.30774724500089501</v>
      </c>
      <c r="G569" t="str">
        <f t="shared" si="52"/>
        <v>sell</v>
      </c>
      <c r="H569">
        <f t="shared" si="53"/>
        <v>0</v>
      </c>
      <c r="I569" t="str">
        <f t="shared" si="54"/>
        <v>sell</v>
      </c>
      <c r="J569">
        <f t="shared" si="50"/>
        <v>0</v>
      </c>
      <c r="K569">
        <f t="shared" si="51"/>
        <v>1</v>
      </c>
      <c r="L569">
        <f t="shared" si="55"/>
        <v>0</v>
      </c>
      <c r="M569">
        <f>IF(I569="sell",N568+(N568*E569/100),IF(I569="buy",0,M568))</f>
        <v>1949.5800957841955</v>
      </c>
      <c r="N569">
        <f>IF(I569="buy",M568,IF(I569="sell",0,IF(AND(I569="keep",N568&lt;&gt;0),N568+(N568*E568/100),N568)))</f>
        <v>0</v>
      </c>
      <c r="O569">
        <f>O568+(O568*E569/100)</f>
        <v>1959.5308170158016</v>
      </c>
    </row>
    <row r="570" spans="1:15" x14ac:dyDescent="0.25">
      <c r="A570" s="1">
        <v>45925</v>
      </c>
      <c r="B570">
        <v>0.12860868041868401</v>
      </c>
      <c r="C570">
        <v>-0.43365013453078299</v>
      </c>
      <c r="D570">
        <v>1.8072960876120301</v>
      </c>
      <c r="E570">
        <v>2.2822006892919602E-2</v>
      </c>
      <c r="F570" s="3">
        <v>0.26392311289514298</v>
      </c>
      <c r="G570" t="str">
        <f t="shared" si="52"/>
        <v>buy</v>
      </c>
      <c r="H570">
        <f t="shared" si="53"/>
        <v>1</v>
      </c>
      <c r="I570" t="str">
        <f t="shared" si="54"/>
        <v>buy</v>
      </c>
      <c r="J570">
        <f t="shared" si="50"/>
        <v>1</v>
      </c>
      <c r="K570">
        <f t="shared" si="51"/>
        <v>0</v>
      </c>
      <c r="L570">
        <f t="shared" si="55"/>
        <v>1</v>
      </c>
      <c r="M570">
        <f>IF(I570="sell",N569+(N569*E570/100),IF(I570="buy",0,M569))</f>
        <v>0</v>
      </c>
      <c r="N570">
        <f>IF(I570="buy",M569,IF(I570="sell",0,IF(AND(I570="keep",N569&lt;&gt;0),N569+(N569*E569/100),N569)))</f>
        <v>1949.5800957841955</v>
      </c>
      <c r="O570">
        <f>O569+(O569*E570/100)</f>
        <v>1959.9780212739299</v>
      </c>
    </row>
    <row r="571" spans="1:15" x14ac:dyDescent="0.25">
      <c r="A571" s="1">
        <v>45926</v>
      </c>
      <c r="B571">
        <v>1.0275936601965301</v>
      </c>
      <c r="C571">
        <v>0.43668363484288197</v>
      </c>
      <c r="D571">
        <v>-0.548908284064486</v>
      </c>
      <c r="E571">
        <v>6.8459104303508697E-2</v>
      </c>
      <c r="F571" s="3">
        <v>0.26914920060306902</v>
      </c>
      <c r="G571" t="str">
        <f t="shared" si="52"/>
        <v>buy</v>
      </c>
      <c r="H571">
        <f t="shared" si="53"/>
        <v>1</v>
      </c>
      <c r="I571" t="str">
        <f t="shared" si="54"/>
        <v>keep</v>
      </c>
      <c r="J571">
        <f t="shared" si="50"/>
        <v>0</v>
      </c>
      <c r="K571">
        <f t="shared" si="51"/>
        <v>0</v>
      </c>
      <c r="L571">
        <f t="shared" si="55"/>
        <v>0</v>
      </c>
      <c r="M571">
        <f>IF(I571="sell",N570+(N570*E571/100),IF(I571="buy",0,M570))</f>
        <v>0</v>
      </c>
      <c r="N571">
        <f>IF(I571="buy",M570,IF(I571="sell",0,IF(AND(I571="keep",N570&lt;&gt;0),N570+(N570*E570/100),N570)))</f>
        <v>1950.0250290880383</v>
      </c>
      <c r="O571">
        <f>O570+(O570*E571/100)</f>
        <v>1961.3198046718396</v>
      </c>
    </row>
    <row r="572" spans="1:15" x14ac:dyDescent="0.25">
      <c r="A572" s="1">
        <v>45929</v>
      </c>
      <c r="B572">
        <v>1.2078471360118701</v>
      </c>
      <c r="C572">
        <v>0.43870657759370602</v>
      </c>
      <c r="D572">
        <v>-0.40319598450592098</v>
      </c>
      <c r="E572">
        <v>1.39110748364463</v>
      </c>
      <c r="F572" s="3">
        <v>0.32585620384095798</v>
      </c>
      <c r="G572" t="str">
        <f t="shared" si="52"/>
        <v>buy</v>
      </c>
      <c r="H572">
        <f t="shared" si="53"/>
        <v>1</v>
      </c>
      <c r="I572" t="str">
        <f t="shared" si="54"/>
        <v>keep</v>
      </c>
      <c r="J572">
        <f t="shared" si="50"/>
        <v>0</v>
      </c>
      <c r="K572">
        <f t="shared" si="51"/>
        <v>0</v>
      </c>
      <c r="L572">
        <f t="shared" si="55"/>
        <v>0</v>
      </c>
      <c r="M572">
        <f>IF(I572="sell",N571+(N571*E572/100),IF(I572="buy",0,M571))</f>
        <v>0</v>
      </c>
      <c r="N572">
        <f>IF(I572="buy",M571,IF(I572="sell",0,IF(AND(I572="keep",N571&lt;&gt;0),N571+(N571*E571/100),N571)))</f>
        <v>1951.3599987566463</v>
      </c>
      <c r="O572">
        <f>O571+(O571*E572/100)</f>
        <v>1988.6038712528339</v>
      </c>
    </row>
    <row r="573" spans="1:15" x14ac:dyDescent="0.25">
      <c r="A573" s="1">
        <v>45930</v>
      </c>
      <c r="B573">
        <v>0.52082354924209895</v>
      </c>
      <c r="C573">
        <v>0.27889825665574602</v>
      </c>
      <c r="D573">
        <v>7.8610047102389793E-2</v>
      </c>
      <c r="E573">
        <v>0.58480013851658297</v>
      </c>
      <c r="F573" s="3">
        <v>0.233423106854899</v>
      </c>
      <c r="G573" t="str">
        <f t="shared" si="52"/>
        <v>buy</v>
      </c>
      <c r="H573">
        <f t="shared" si="53"/>
        <v>0</v>
      </c>
      <c r="I573" t="str">
        <f t="shared" si="54"/>
        <v>keep</v>
      </c>
      <c r="J573">
        <f t="shared" si="50"/>
        <v>0</v>
      </c>
      <c r="K573">
        <f t="shared" si="51"/>
        <v>0</v>
      </c>
      <c r="L573">
        <f t="shared" si="55"/>
        <v>0</v>
      </c>
      <c r="M573">
        <f>IF(I573="sell",N572+(N572*E573/100),IF(I573="buy",0,M572))</f>
        <v>0</v>
      </c>
      <c r="N573">
        <f>IF(I573="buy",M572,IF(I573="sell",0,IF(AND(I573="keep",N572&lt;&gt;0),N572+(N572*E572/100),N572)))</f>
        <v>1978.5055137321979</v>
      </c>
      <c r="O573">
        <f>O572+(O572*E573/100)</f>
        <v>2000.2332294464666</v>
      </c>
    </row>
    <row r="574" spans="1:15" x14ac:dyDescent="0.25">
      <c r="A574" s="1">
        <v>45931</v>
      </c>
      <c r="B574">
        <v>0.69516639326281304</v>
      </c>
      <c r="C574">
        <v>0.489745496157656</v>
      </c>
      <c r="D574">
        <v>0.32203303515370102</v>
      </c>
      <c r="E574">
        <v>-0.29070005493436701</v>
      </c>
      <c r="F574" s="3">
        <v>0.32739127323832701</v>
      </c>
      <c r="G574" t="str">
        <f t="shared" si="52"/>
        <v>buy</v>
      </c>
      <c r="H574">
        <f t="shared" si="53"/>
        <v>0</v>
      </c>
      <c r="I574" t="str">
        <f t="shared" si="54"/>
        <v>keep</v>
      </c>
      <c r="J574">
        <f t="shared" si="50"/>
        <v>0</v>
      </c>
      <c r="K574">
        <f t="shared" si="51"/>
        <v>0</v>
      </c>
      <c r="L574">
        <f t="shared" si="55"/>
        <v>0</v>
      </c>
      <c r="M574">
        <f>IF(I574="sell",N573+(N573*E574/100),IF(I574="buy",0,M573))</f>
        <v>0</v>
      </c>
      <c r="N574">
        <f>IF(I574="buy",M573,IF(I574="sell",0,IF(AND(I574="keep",N573&lt;&gt;0),N573+(N573*E573/100),N573)))</f>
        <v>1990.075816717062</v>
      </c>
      <c r="O574">
        <f>O573+(O573*E574/100)</f>
        <v>1994.4185503496503</v>
      </c>
    </row>
    <row r="575" spans="1:15" x14ac:dyDescent="0.25">
      <c r="A575" s="1">
        <v>45932</v>
      </c>
      <c r="B575">
        <v>-0.71881186368778405</v>
      </c>
      <c r="C575">
        <v>0.37055325073791501</v>
      </c>
      <c r="D575">
        <v>0.657663833894228</v>
      </c>
      <c r="E575">
        <v>-0.31397037266058803</v>
      </c>
      <c r="F575" s="3">
        <v>8.6822085583159694E-2</v>
      </c>
      <c r="G575" t="str">
        <f t="shared" si="52"/>
        <v>keep</v>
      </c>
      <c r="H575">
        <f t="shared" si="53"/>
        <v>0</v>
      </c>
      <c r="I575" t="str">
        <f t="shared" si="54"/>
        <v>keep</v>
      </c>
      <c r="J575">
        <f t="shared" si="50"/>
        <v>0</v>
      </c>
      <c r="K575">
        <f t="shared" si="51"/>
        <v>0</v>
      </c>
      <c r="L575">
        <f t="shared" si="55"/>
        <v>0</v>
      </c>
      <c r="M575">
        <f>IF(I575="sell",N574+(N574*E575/100),IF(I575="buy",0,M574))</f>
        <v>0</v>
      </c>
      <c r="N575">
        <f>IF(I575="buy",M574,IF(I575="sell",0,IF(AND(I575="keep",N574&lt;&gt;0),N574+(N574*E574/100),N574)))</f>
        <v>1984.2906652246299</v>
      </c>
      <c r="O575">
        <f>O574+(O574*E575/100)</f>
        <v>1988.1566669947056</v>
      </c>
    </row>
    <row r="576" spans="1:15" x14ac:dyDescent="0.25">
      <c r="A576" s="1">
        <v>45933</v>
      </c>
      <c r="B576">
        <v>1.0703986816393301</v>
      </c>
      <c r="C576">
        <v>-0.43080893956599597</v>
      </c>
      <c r="D576">
        <v>0.346125132997121</v>
      </c>
      <c r="E576">
        <v>0</v>
      </c>
      <c r="F576" s="3">
        <v>0.25515609905875403</v>
      </c>
      <c r="G576" t="str">
        <f t="shared" si="52"/>
        <v>buy</v>
      </c>
      <c r="H576">
        <f t="shared" si="53"/>
        <v>0</v>
      </c>
      <c r="I576" t="str">
        <f t="shared" si="54"/>
        <v>keep</v>
      </c>
      <c r="J576">
        <f t="shared" ref="J576:J639" si="56">IF(I576="buy",1,0)</f>
        <v>0</v>
      </c>
      <c r="K576">
        <f t="shared" ref="K576:K639" si="57">IF(I576="sell",1,0)</f>
        <v>0</v>
      </c>
      <c r="L576">
        <f t="shared" si="55"/>
        <v>0</v>
      </c>
      <c r="M576">
        <f>IF(I576="sell",N575+(N575*E576/100),IF(I576="buy",0,M575))</f>
        <v>0</v>
      </c>
      <c r="N576">
        <f>IF(I576="buy",M575,IF(I576="sell",0,IF(AND(I576="keep",N575&lt;&gt;0),N575+(N575*E575/100),N575)))</f>
        <v>1978.060580428355</v>
      </c>
      <c r="O576">
        <f>O575+(O575*E576/100)</f>
        <v>1988.1566669947056</v>
      </c>
    </row>
    <row r="577" spans="1:15" x14ac:dyDescent="0.25">
      <c r="A577" s="1">
        <v>45936</v>
      </c>
      <c r="B577">
        <v>1.74448439291063</v>
      </c>
      <c r="C577">
        <v>0.77884595229731302</v>
      </c>
      <c r="D577">
        <v>-0.51546117135026204</v>
      </c>
      <c r="E577">
        <v>-0.53993627524726495</v>
      </c>
      <c r="F577" s="3">
        <v>0.45942661307088001</v>
      </c>
      <c r="G577" t="str">
        <f t="shared" si="52"/>
        <v>buy</v>
      </c>
      <c r="H577">
        <f t="shared" si="53"/>
        <v>0</v>
      </c>
      <c r="I577" t="str">
        <f t="shared" si="54"/>
        <v>keep</v>
      </c>
      <c r="J577">
        <f t="shared" si="56"/>
        <v>0</v>
      </c>
      <c r="K577">
        <f t="shared" si="57"/>
        <v>0</v>
      </c>
      <c r="L577">
        <f t="shared" si="55"/>
        <v>0</v>
      </c>
      <c r="M577">
        <f>IF(I577="sell",N576+(N576*E577/100),IF(I577="buy",0,M576))</f>
        <v>0</v>
      </c>
      <c r="N577">
        <f>IF(I577="buy",M576,IF(I577="sell",0,IF(AND(I577="keep",N576&lt;&gt;0),N576+(N576*E576/100),N576)))</f>
        <v>1978.060580428355</v>
      </c>
      <c r="O577">
        <f>O576+(O576*E577/100)</f>
        <v>1977.4218879408543</v>
      </c>
    </row>
    <row r="578" spans="1:15" x14ac:dyDescent="0.25">
      <c r="A578" s="1">
        <v>45937</v>
      </c>
      <c r="B578">
        <v>0.711665129954419</v>
      </c>
      <c r="C578">
        <v>-0.55379523517942097</v>
      </c>
      <c r="D578">
        <v>-8.1803416655246097E-2</v>
      </c>
      <c r="E578">
        <v>-1.44763493078925</v>
      </c>
      <c r="F578" s="3">
        <v>0.109231745500687</v>
      </c>
      <c r="G578" t="str">
        <f t="shared" si="52"/>
        <v>keep</v>
      </c>
      <c r="H578">
        <f t="shared" si="53"/>
        <v>1</v>
      </c>
      <c r="I578" t="str">
        <f t="shared" si="54"/>
        <v>keep</v>
      </c>
      <c r="J578">
        <f t="shared" si="56"/>
        <v>0</v>
      </c>
      <c r="K578">
        <f t="shared" si="57"/>
        <v>0</v>
      </c>
      <c r="L578">
        <f t="shared" si="55"/>
        <v>0</v>
      </c>
      <c r="M578">
        <f>IF(I578="sell",N577+(N577*E578/100),IF(I578="buy",0,M577))</f>
        <v>0</v>
      </c>
      <c r="N578">
        <f>IF(I578="buy",M577,IF(I578="sell",0,IF(AND(I578="keep",N577&lt;&gt;0),N577+(N577*E577/100),N577)))</f>
        <v>1967.3803138082558</v>
      </c>
      <c r="O578">
        <f>O577+(O577*E578/100)</f>
        <v>1948.7960379619501</v>
      </c>
    </row>
    <row r="579" spans="1:15" x14ac:dyDescent="0.25">
      <c r="A579" s="1">
        <v>45938</v>
      </c>
      <c r="B579">
        <v>1.67731100774219</v>
      </c>
      <c r="C579">
        <v>1.1931800401283099</v>
      </c>
      <c r="D579">
        <v>0.616028826380699</v>
      </c>
      <c r="E579">
        <v>0.16066030597776601</v>
      </c>
      <c r="F579" s="3">
        <v>0.63560597164661803</v>
      </c>
      <c r="G579" t="str">
        <f t="shared" ref="G579:G642" si="58">IF(F579&gt;$R$2,"buy",IF(F579&lt;-$R$3,"sell","keep"))</f>
        <v>buy</v>
      </c>
      <c r="H579">
        <f t="shared" ref="H579:H642" si="59">IF(F579&lt;&gt;"",IF(OR(AND(F579&lt;0,E580&lt;0),AND(F579&gt;0,E580&gt;0)),1,0),"")</f>
        <v>1</v>
      </c>
      <c r="I579" t="str">
        <f t="shared" ref="I579:I642" si="60">IF(AND(G579="sell",N578&lt;&gt;0),"sell",IF(AND(G579="buy",M578&lt;&gt;0),"buy","keep"))</f>
        <v>keep</v>
      </c>
      <c r="J579">
        <f t="shared" si="56"/>
        <v>0</v>
      </c>
      <c r="K579">
        <f t="shared" si="57"/>
        <v>0</v>
      </c>
      <c r="L579">
        <f t="shared" ref="L579:L642" si="61">IF(AND(H579=1,OR(J579=1,K579=1)),1,0)</f>
        <v>0</v>
      </c>
      <c r="M579">
        <f>IF(I579="sell",N578+(N578*E579/100),IF(I579="buy",0,M578))</f>
        <v>0</v>
      </c>
      <c r="N579">
        <f>IF(I579="buy",M578,IF(I579="sell",0,IF(AND(I579="keep",N578&lt;&gt;0),N578+(N578*E578/100),N578)))</f>
        <v>1938.8998291640962</v>
      </c>
      <c r="O579">
        <f>O578+(O578*E579/100)</f>
        <v>1951.9269796394224</v>
      </c>
    </row>
    <row r="580" spans="1:15" x14ac:dyDescent="0.25">
      <c r="A580" s="1">
        <v>45939</v>
      </c>
      <c r="B580">
        <v>-2.3990304659213502</v>
      </c>
      <c r="C580">
        <v>-0.15292212890665099</v>
      </c>
      <c r="D580">
        <v>-1.5577856374367101</v>
      </c>
      <c r="E580">
        <v>0.11457203886306901</v>
      </c>
      <c r="F580" s="3">
        <v>-0.56510755033764404</v>
      </c>
      <c r="G580" t="str">
        <f t="shared" si="58"/>
        <v>sell</v>
      </c>
      <c r="H580">
        <f t="shared" si="59"/>
        <v>0</v>
      </c>
      <c r="I580" t="str">
        <f t="shared" si="60"/>
        <v>sell</v>
      </c>
      <c r="J580">
        <f t="shared" si="56"/>
        <v>0</v>
      </c>
      <c r="K580">
        <f t="shared" si="57"/>
        <v>1</v>
      </c>
      <c r="L580">
        <f t="shared" si="61"/>
        <v>0</v>
      </c>
      <c r="M580">
        <f>IF(I580="sell",N579+(N579*E580/100),IF(I580="buy",0,M579))</f>
        <v>1941.1212662298822</v>
      </c>
      <c r="N580">
        <f>IF(I580="buy",M579,IF(I580="sell",0,IF(AND(I580="keep",N579&lt;&gt;0),N579+(N579*E579/100),N579)))</f>
        <v>0</v>
      </c>
      <c r="O580">
        <f>O579+(O579*E580/100)</f>
        <v>1954.1633421771137</v>
      </c>
    </row>
    <row r="581" spans="1:15" x14ac:dyDescent="0.25">
      <c r="A581" s="1">
        <v>45940</v>
      </c>
      <c r="B581">
        <v>0.75006596430533501</v>
      </c>
      <c r="C581">
        <v>-3.4920439013412001</v>
      </c>
      <c r="D581">
        <v>-3.4522058162621301</v>
      </c>
      <c r="E581">
        <v>0.77821049044399704</v>
      </c>
      <c r="F581" s="3">
        <v>-0.75412953879114997</v>
      </c>
      <c r="G581" t="str">
        <f t="shared" si="58"/>
        <v>sell</v>
      </c>
      <c r="H581">
        <f t="shared" si="59"/>
        <v>1</v>
      </c>
      <c r="I581" t="str">
        <f t="shared" si="60"/>
        <v>keep</v>
      </c>
      <c r="J581">
        <f t="shared" si="56"/>
        <v>0</v>
      </c>
      <c r="K581">
        <f t="shared" si="57"/>
        <v>0</v>
      </c>
      <c r="L581">
        <f t="shared" si="61"/>
        <v>0</v>
      </c>
      <c r="M581">
        <f>IF(I581="sell",N580+(N580*E581/100),IF(I581="buy",0,M580))</f>
        <v>1941.1212662298822</v>
      </c>
      <c r="N581">
        <f>IF(I581="buy",M580,IF(I581="sell",0,IF(AND(I581="keep",N580&lt;&gt;0),N580+(N580*E580/100),N580)))</f>
        <v>0</v>
      </c>
      <c r="O581">
        <f>O580+(O580*E581/100)</f>
        <v>1969.3708463063469</v>
      </c>
    </row>
    <row r="582" spans="1:15" x14ac:dyDescent="0.25">
      <c r="A582" s="1">
        <v>45943</v>
      </c>
      <c r="B582">
        <v>3.33761408918456</v>
      </c>
      <c r="C582">
        <v>2.1819644687417901</v>
      </c>
      <c r="D582">
        <v>0.97443414207898305</v>
      </c>
      <c r="E582">
        <v>-0.136265183413908</v>
      </c>
      <c r="F582" s="3">
        <v>1.1039306587737601</v>
      </c>
      <c r="G582" t="str">
        <f t="shared" si="58"/>
        <v>buy</v>
      </c>
      <c r="H582">
        <f t="shared" si="59"/>
        <v>1</v>
      </c>
      <c r="I582" t="str">
        <f t="shared" si="60"/>
        <v>buy</v>
      </c>
      <c r="J582">
        <f t="shared" si="56"/>
        <v>1</v>
      </c>
      <c r="K582">
        <f t="shared" si="57"/>
        <v>0</v>
      </c>
      <c r="L582">
        <f t="shared" si="61"/>
        <v>1</v>
      </c>
      <c r="M582">
        <f>IF(I582="sell",N581+(N581*E582/100),IF(I582="buy",0,M581))</f>
        <v>0</v>
      </c>
      <c r="N582">
        <f>IF(I582="buy",M581,IF(I582="sell",0,IF(AND(I582="keep",N581&lt;&gt;0),N581+(N581*E581/100),N581)))</f>
        <v>1941.1212662298822</v>
      </c>
      <c r="O582">
        <f>O581+(O581*E582/100)</f>
        <v>1966.6872795105276</v>
      </c>
    </row>
    <row r="583" spans="1:15" x14ac:dyDescent="0.25">
      <c r="A583" s="1">
        <v>45944</v>
      </c>
      <c r="B583">
        <v>0.73261200751615296</v>
      </c>
      <c r="C583">
        <v>-0.69061802406036299</v>
      </c>
      <c r="D583">
        <v>4.4415864468594302E-2</v>
      </c>
      <c r="E583">
        <v>1.02341809358492</v>
      </c>
      <c r="F583" s="3">
        <v>0.107052120700736</v>
      </c>
      <c r="G583" t="str">
        <f t="shared" si="58"/>
        <v>keep</v>
      </c>
      <c r="H583">
        <f t="shared" si="59"/>
        <v>0</v>
      </c>
      <c r="I583" t="str">
        <f t="shared" si="60"/>
        <v>keep</v>
      </c>
      <c r="J583">
        <f t="shared" si="56"/>
        <v>0</v>
      </c>
      <c r="K583">
        <f t="shared" si="57"/>
        <v>0</v>
      </c>
      <c r="L583">
        <f t="shared" si="61"/>
        <v>0</v>
      </c>
      <c r="M583">
        <f>IF(I583="sell",N582+(N582*E583/100),IF(I583="buy",0,M582))</f>
        <v>0</v>
      </c>
      <c r="N583">
        <f>IF(I583="buy",M582,IF(I583="sell",0,IF(AND(I583="keep",N582&lt;&gt;0),N582+(N582*E582/100),N582)))</f>
        <v>1938.4761937761677</v>
      </c>
      <c r="O583">
        <f>O582+(O582*E583/100)</f>
        <v>1986.8147129732713</v>
      </c>
    </row>
    <row r="584" spans="1:15" x14ac:dyDescent="0.25">
      <c r="A584" s="1">
        <v>45945</v>
      </c>
      <c r="B584">
        <v>0.92298802108243805</v>
      </c>
      <c r="C584">
        <v>0.67552340906498198</v>
      </c>
      <c r="D584">
        <v>0.63365295640294095</v>
      </c>
      <c r="E584">
        <v>-0.38270638440539501</v>
      </c>
      <c r="F584" s="3">
        <v>0.41787852573070799</v>
      </c>
      <c r="G584" t="str">
        <f t="shared" si="58"/>
        <v>buy</v>
      </c>
      <c r="H584">
        <f t="shared" si="59"/>
        <v>1</v>
      </c>
      <c r="I584" t="str">
        <f t="shared" si="60"/>
        <v>keep</v>
      </c>
      <c r="J584">
        <f t="shared" si="56"/>
        <v>0</v>
      </c>
      <c r="K584">
        <f t="shared" si="57"/>
        <v>0</v>
      </c>
      <c r="L584">
        <f t="shared" si="61"/>
        <v>0</v>
      </c>
      <c r="M584">
        <f>IF(I584="sell",N583+(N583*E584/100),IF(I584="buy",0,M583))</f>
        <v>0</v>
      </c>
      <c r="N584">
        <f>IF(I584="buy",M583,IF(I584="sell",0,IF(AND(I584="keep",N583&lt;&gt;0),N583+(N583*E583/100),N583)))</f>
        <v>1958.3149098831093</v>
      </c>
      <c r="O584">
        <f>O583+(O583*E584/100)</f>
        <v>1979.2110462204168</v>
      </c>
    </row>
    <row r="585" spans="1:15" x14ac:dyDescent="0.25">
      <c r="A585" s="1">
        <v>45946</v>
      </c>
      <c r="B585">
        <v>2.4731330743833699</v>
      </c>
      <c r="C585">
        <v>-0.35610370126216701</v>
      </c>
      <c r="D585">
        <v>-0.75800060533217595</v>
      </c>
      <c r="E585">
        <v>2.0564968303098601</v>
      </c>
      <c r="F585" s="3">
        <v>0.36240123641562499</v>
      </c>
      <c r="G585" t="str">
        <f t="shared" si="58"/>
        <v>buy</v>
      </c>
      <c r="H585">
        <f t="shared" si="59"/>
        <v>0</v>
      </c>
      <c r="I585" t="str">
        <f t="shared" si="60"/>
        <v>keep</v>
      </c>
      <c r="J585">
        <f t="shared" si="56"/>
        <v>0</v>
      </c>
      <c r="K585">
        <f t="shared" si="57"/>
        <v>0</v>
      </c>
      <c r="L585">
        <f t="shared" si="61"/>
        <v>0</v>
      </c>
      <c r="M585">
        <f>IF(I585="sell",N584+(N584*E585/100),IF(I585="buy",0,M584))</f>
        <v>0</v>
      </c>
      <c r="N585">
        <f>IF(I585="buy",M584,IF(I585="sell",0,IF(AND(I585="keep",N584&lt;&gt;0),N584+(N584*E584/100),N584)))</f>
        <v>1950.8203136962238</v>
      </c>
      <c r="O585">
        <f>O584+(O584*E585/100)</f>
        <v>2019.9134586510822</v>
      </c>
    </row>
    <row r="586" spans="1:15" x14ac:dyDescent="0.25">
      <c r="A586" s="1">
        <v>45947</v>
      </c>
      <c r="B586">
        <v>-2.1097212477968399</v>
      </c>
      <c r="C586">
        <v>0.65177198602686104</v>
      </c>
      <c r="D586">
        <v>1.9559441912186899</v>
      </c>
      <c r="E586">
        <v>-0.97431051416223502</v>
      </c>
      <c r="F586" s="3">
        <v>6.9053419145447797E-2</v>
      </c>
      <c r="G586" t="str">
        <f t="shared" si="58"/>
        <v>keep</v>
      </c>
      <c r="H586">
        <f t="shared" si="59"/>
        <v>1</v>
      </c>
      <c r="I586" t="str">
        <f t="shared" si="60"/>
        <v>keep</v>
      </c>
      <c r="J586">
        <f t="shared" si="56"/>
        <v>0</v>
      </c>
      <c r="K586">
        <f t="shared" si="57"/>
        <v>0</v>
      </c>
      <c r="L586">
        <f t="shared" si="61"/>
        <v>0</v>
      </c>
      <c r="M586">
        <f>IF(I586="sell",N585+(N585*E586/100),IF(I586="buy",0,M585))</f>
        <v>0</v>
      </c>
      <c r="N586">
        <f>IF(I586="buy",M585,IF(I586="sell",0,IF(AND(I586="keep",N585&lt;&gt;0),N585+(N585*E585/100),N585)))</f>
        <v>1990.9388716124276</v>
      </c>
      <c r="O586">
        <f>O585+(O585*E586/100)</f>
        <v>2000.2332294464668</v>
      </c>
    </row>
    <row r="587" spans="1:15" x14ac:dyDescent="0.25">
      <c r="A587" s="1">
        <v>45950</v>
      </c>
      <c r="B587">
        <v>3.4965035779983702</v>
      </c>
      <c r="C587">
        <v>1.3017607121861701</v>
      </c>
      <c r="D587">
        <v>3.94387623150025</v>
      </c>
      <c r="E587">
        <v>0.111805088765071</v>
      </c>
      <c r="F587" s="3">
        <v>1.3499659494037799</v>
      </c>
      <c r="G587" t="str">
        <f t="shared" si="58"/>
        <v>buy</v>
      </c>
      <c r="H587">
        <f t="shared" si="59"/>
        <v>1</v>
      </c>
      <c r="I587" t="str">
        <f t="shared" si="60"/>
        <v>keep</v>
      </c>
      <c r="J587">
        <f t="shared" si="56"/>
        <v>0</v>
      </c>
      <c r="K587">
        <f t="shared" si="57"/>
        <v>0</v>
      </c>
      <c r="L587">
        <f t="shared" si="61"/>
        <v>0</v>
      </c>
      <c r="M587">
        <f>IF(I587="sell",N586+(N586*E587/100),IF(I587="buy",0,M586))</f>
        <v>0</v>
      </c>
      <c r="N587">
        <f>IF(I587="buy",M586,IF(I587="sell",0,IF(AND(I587="keep",N586&lt;&gt;0),N586+(N586*E586/100),N586)))</f>
        <v>1971.5409448557648</v>
      </c>
      <c r="O587">
        <f>O586+(O586*E587/100)</f>
        <v>2002.4695919841579</v>
      </c>
    </row>
    <row r="588" spans="1:15" x14ac:dyDescent="0.25">
      <c r="A588" s="1">
        <v>45951</v>
      </c>
      <c r="B588">
        <v>-5.7351710352510796</v>
      </c>
      <c r="C588">
        <v>-5.5243073407329403E-2</v>
      </c>
      <c r="D588">
        <v>0.20210237725979399</v>
      </c>
      <c r="E588">
        <v>0.91579147469276201</v>
      </c>
      <c r="F588" s="3">
        <v>-0.84653717260231398</v>
      </c>
      <c r="G588" t="str">
        <f t="shared" si="58"/>
        <v>sell</v>
      </c>
      <c r="H588">
        <f t="shared" si="59"/>
        <v>0</v>
      </c>
      <c r="I588" t="str">
        <f t="shared" si="60"/>
        <v>sell</v>
      </c>
      <c r="J588">
        <f t="shared" si="56"/>
        <v>0</v>
      </c>
      <c r="K588">
        <f t="shared" si="57"/>
        <v>1</v>
      </c>
      <c r="L588">
        <f t="shared" si="61"/>
        <v>0</v>
      </c>
      <c r="M588">
        <f>IF(I588="sell",N587+(N587*E588/100),IF(I588="buy",0,M587))</f>
        <v>1989.596148748831</v>
      </c>
      <c r="N588">
        <f>IF(I588="buy",M587,IF(I588="sell",0,IF(AND(I588="keep",N587&lt;&gt;0),N587+(N587*E587/100),N587)))</f>
        <v>0</v>
      </c>
      <c r="O588">
        <f>O587+(O587*E588/100)</f>
        <v>2020.8080377908636</v>
      </c>
    </row>
    <row r="589" spans="1:15" x14ac:dyDescent="0.25">
      <c r="A589" s="1">
        <v>45952</v>
      </c>
      <c r="B589">
        <v>-1.05927659430363</v>
      </c>
      <c r="C589">
        <v>-0.98746289474361804</v>
      </c>
      <c r="D589">
        <v>-1.6440156296572901</v>
      </c>
      <c r="E589">
        <v>1.35015627762553</v>
      </c>
      <c r="F589" s="3">
        <v>-0.419216627004322</v>
      </c>
      <c r="G589" t="str">
        <f t="shared" si="58"/>
        <v>sell</v>
      </c>
      <c r="H589">
        <f t="shared" si="59"/>
        <v>1</v>
      </c>
      <c r="I589" t="str">
        <f t="shared" si="60"/>
        <v>keep</v>
      </c>
      <c r="J589">
        <f t="shared" si="56"/>
        <v>0</v>
      </c>
      <c r="K589">
        <f t="shared" si="57"/>
        <v>0</v>
      </c>
      <c r="L589">
        <f t="shared" si="61"/>
        <v>0</v>
      </c>
      <c r="M589">
        <f>IF(I589="sell",N588+(N588*E589/100),IF(I589="buy",0,M588))</f>
        <v>1989.596148748831</v>
      </c>
      <c r="N589">
        <f>IF(I589="buy",M588,IF(I589="sell",0,IF(AND(I589="keep",N588&lt;&gt;0),N588+(N588*E588/100),N588)))</f>
        <v>0</v>
      </c>
      <c r="O589">
        <f>O588+(O588*E589/100)</f>
        <v>2048.0921043718581</v>
      </c>
    </row>
    <row r="590" spans="1:15" x14ac:dyDescent="0.25">
      <c r="A590" s="1">
        <v>45953</v>
      </c>
      <c r="B590">
        <v>2.0052442788669902</v>
      </c>
      <c r="C590">
        <v>0.87785001365592297</v>
      </c>
      <c r="D590">
        <v>0.43721030724688198</v>
      </c>
      <c r="E590">
        <v>-0.45861340963949598</v>
      </c>
      <c r="F590" s="3">
        <v>0.56363297485889396</v>
      </c>
      <c r="G590" t="str">
        <f t="shared" si="58"/>
        <v>buy</v>
      </c>
      <c r="H590">
        <f t="shared" si="59"/>
        <v>0</v>
      </c>
      <c r="I590" t="str">
        <f t="shared" si="60"/>
        <v>buy</v>
      </c>
      <c r="J590">
        <f t="shared" si="56"/>
        <v>1</v>
      </c>
      <c r="K590">
        <f t="shared" si="57"/>
        <v>0</v>
      </c>
      <c r="L590">
        <f t="shared" si="61"/>
        <v>0</v>
      </c>
      <c r="M590">
        <f>IF(I590="sell",N589+(N589*E590/100),IF(I590="buy",0,M589))</f>
        <v>0</v>
      </c>
      <c r="N590">
        <f>IF(I590="buy",M589,IF(I590="sell",0,IF(AND(I590="keep",N589&lt;&gt;0),N589+(N589*E589/100),N589)))</f>
        <v>1989.596148748831</v>
      </c>
      <c r="O590">
        <f>O589+(O589*E590/100)</f>
        <v>2038.6992793394411</v>
      </c>
    </row>
    <row r="591" spans="1:15" x14ac:dyDescent="0.25">
      <c r="A591" s="1">
        <v>45954</v>
      </c>
      <c r="B591">
        <v>-0.17210271860986701</v>
      </c>
      <c r="C591">
        <v>1.0389518216287601</v>
      </c>
      <c r="D591">
        <v>1.2481878875396399</v>
      </c>
      <c r="E591">
        <v>-0.59236605291164102</v>
      </c>
      <c r="F591" s="3">
        <v>0.37318345274752301</v>
      </c>
      <c r="G591" t="str">
        <f t="shared" si="58"/>
        <v>buy</v>
      </c>
      <c r="H591">
        <f t="shared" si="59"/>
        <v>0</v>
      </c>
      <c r="I591" t="str">
        <f t="shared" si="60"/>
        <v>keep</v>
      </c>
      <c r="J591">
        <f t="shared" si="56"/>
        <v>0</v>
      </c>
      <c r="K591">
        <f t="shared" si="57"/>
        <v>0</v>
      </c>
      <c r="L591">
        <f t="shared" si="61"/>
        <v>0</v>
      </c>
      <c r="M591">
        <f>IF(I591="sell",N590+(N590*E591/100),IF(I591="buy",0,M590))</f>
        <v>0</v>
      </c>
      <c r="N591">
        <f>IF(I591="buy",M590,IF(I591="sell",0,IF(AND(I591="keep",N590&lt;&gt;0),N590+(N590*E590/100),N590)))</f>
        <v>1980.4715940129979</v>
      </c>
      <c r="O591">
        <f>O590+(O590*E591/100)</f>
        <v>2026.6227168876799</v>
      </c>
    </row>
    <row r="592" spans="1:15" x14ac:dyDescent="0.25">
      <c r="A592" s="1">
        <v>45957</v>
      </c>
      <c r="B592">
        <v>-2.82876852084472</v>
      </c>
      <c r="C592">
        <v>1.8273826734459899</v>
      </c>
      <c r="D592">
        <v>2.2791119124158299</v>
      </c>
      <c r="E592">
        <v>-0.64003731347995696</v>
      </c>
      <c r="F592" s="3">
        <v>0.24262765009294701</v>
      </c>
      <c r="G592" t="str">
        <f t="shared" si="58"/>
        <v>buy</v>
      </c>
      <c r="H592">
        <f t="shared" si="59"/>
        <v>1</v>
      </c>
      <c r="I592" t="str">
        <f t="shared" si="60"/>
        <v>keep</v>
      </c>
      <c r="J592">
        <f t="shared" si="56"/>
        <v>0</v>
      </c>
      <c r="K592">
        <f t="shared" si="57"/>
        <v>0</v>
      </c>
      <c r="L592">
        <f t="shared" si="61"/>
        <v>0</v>
      </c>
      <c r="M592">
        <f>IF(I592="sell",N591+(N591*E592/100),IF(I592="buy",0,M591))</f>
        <v>0</v>
      </c>
      <c r="N592">
        <f>IF(I592="buy",M591,IF(I592="sell",0,IF(AND(I592="keep",N591&lt;&gt;0),N591+(N591*E591/100),N591)))</f>
        <v>1968.7399526025069</v>
      </c>
      <c r="O592">
        <f>O591+(O591*E592/100)</f>
        <v>2013.6515752961375</v>
      </c>
    </row>
    <row r="593" spans="1:15" x14ac:dyDescent="0.25">
      <c r="A593" s="1">
        <v>45958</v>
      </c>
      <c r="B593">
        <v>-0.89207506541997195</v>
      </c>
      <c r="C593">
        <v>0.73814160500926795</v>
      </c>
      <c r="D593">
        <v>7.0683143490768402E-2</v>
      </c>
      <c r="E593">
        <v>0.93291462611009202</v>
      </c>
      <c r="F593" s="3">
        <v>8.3823002110196901E-2</v>
      </c>
      <c r="G593" t="str">
        <f t="shared" si="58"/>
        <v>keep</v>
      </c>
      <c r="H593">
        <f t="shared" si="59"/>
        <v>0</v>
      </c>
      <c r="I593" t="str">
        <f t="shared" si="60"/>
        <v>keep</v>
      </c>
      <c r="J593">
        <f t="shared" si="56"/>
        <v>0</v>
      </c>
      <c r="K593">
        <f t="shared" si="57"/>
        <v>0</v>
      </c>
      <c r="L593">
        <f t="shared" si="61"/>
        <v>0</v>
      </c>
      <c r="M593">
        <f>IF(I593="sell",N592+(N592*E593/100),IF(I593="buy",0,M592))</f>
        <v>0</v>
      </c>
      <c r="N593">
        <f>IF(I593="buy",M592,IF(I593="sell",0,IF(AND(I593="keep",N592&lt;&gt;0),N592+(N592*E592/100),N592)))</f>
        <v>1956.1392823004633</v>
      </c>
      <c r="O593">
        <f>O592+(O592*E593/100)</f>
        <v>2032.4372253609715</v>
      </c>
    </row>
    <row r="594" spans="1:15" x14ac:dyDescent="0.25">
      <c r="A594" s="1">
        <v>45959</v>
      </c>
      <c r="B594">
        <v>0.44122838524138702</v>
      </c>
      <c r="C594">
        <v>0.41403427680017901</v>
      </c>
      <c r="D594">
        <v>0.26023003490211999</v>
      </c>
      <c r="E594">
        <v>-0.37411570000662703</v>
      </c>
      <c r="F594" s="3">
        <v>0.240132137436398</v>
      </c>
      <c r="G594" t="str">
        <f t="shared" si="58"/>
        <v>buy</v>
      </c>
      <c r="H594">
        <f t="shared" si="59"/>
        <v>0</v>
      </c>
      <c r="I594" t="str">
        <f t="shared" si="60"/>
        <v>keep</v>
      </c>
      <c r="J594">
        <f t="shared" si="56"/>
        <v>0</v>
      </c>
      <c r="K594">
        <f t="shared" si="57"/>
        <v>0</v>
      </c>
      <c r="L594">
        <f t="shared" si="61"/>
        <v>0</v>
      </c>
      <c r="M594">
        <f>IF(I594="sell",N593+(N593*E594/100),IF(I594="buy",0,M593))</f>
        <v>0</v>
      </c>
      <c r="N594">
        <f>IF(I594="buy",M593,IF(I594="sell",0,IF(AND(I594="keep",N593&lt;&gt;0),N593+(N593*E593/100),N593)))</f>
        <v>1974.3883917721294</v>
      </c>
      <c r="O594">
        <f>O593+(O593*E594/100)</f>
        <v>2024.8335586081171</v>
      </c>
    </row>
    <row r="595" spans="1:15" x14ac:dyDescent="0.25">
      <c r="A595" s="1">
        <v>45960</v>
      </c>
      <c r="B595">
        <v>0.44180279318155602</v>
      </c>
      <c r="C595">
        <v>-1.4741243470322301</v>
      </c>
      <c r="D595">
        <v>0.63032260497854997</v>
      </c>
      <c r="E595">
        <v>-0.50806171837995895</v>
      </c>
      <c r="F595" s="3">
        <v>-3.6195599793220901E-3</v>
      </c>
      <c r="G595" t="str">
        <f t="shared" si="58"/>
        <v>keep</v>
      </c>
      <c r="H595">
        <f t="shared" si="59"/>
        <v>1</v>
      </c>
      <c r="I595" t="str">
        <f t="shared" si="60"/>
        <v>keep</v>
      </c>
      <c r="J595">
        <f t="shared" si="56"/>
        <v>0</v>
      </c>
      <c r="K595">
        <f t="shared" si="57"/>
        <v>0</v>
      </c>
      <c r="L595">
        <f t="shared" si="61"/>
        <v>0</v>
      </c>
      <c r="M595">
        <f>IF(I595="sell",N594+(N594*E595/100),IF(I595="buy",0,M594))</f>
        <v>0</v>
      </c>
      <c r="N595">
        <f>IF(I595="buy",M594,IF(I595="sell",0,IF(AND(I595="keep",N594&lt;&gt;0),N594+(N594*E594/100),N594)))</f>
        <v>1967.0018948194015</v>
      </c>
      <c r="O595">
        <f>O594+(O594*E595/100)</f>
        <v>2014.5461544359187</v>
      </c>
    </row>
    <row r="596" spans="1:15" x14ac:dyDescent="0.25">
      <c r="A596" s="1">
        <v>45961</v>
      </c>
      <c r="B596">
        <v>-0.47734729770749701</v>
      </c>
      <c r="C596">
        <v>0.47919650418788401</v>
      </c>
      <c r="D596">
        <v>-0.37950967413132802</v>
      </c>
      <c r="E596">
        <v>-0.48845740726279802</v>
      </c>
      <c r="F596" s="3">
        <v>4.3563550174395199E-2</v>
      </c>
      <c r="G596" t="str">
        <f t="shared" si="58"/>
        <v>keep</v>
      </c>
      <c r="H596">
        <f t="shared" si="59"/>
        <v>0</v>
      </c>
      <c r="I596" t="str">
        <f t="shared" si="60"/>
        <v>keep</v>
      </c>
      <c r="J596">
        <f t="shared" si="56"/>
        <v>0</v>
      </c>
      <c r="K596">
        <f t="shared" si="57"/>
        <v>0</v>
      </c>
      <c r="L596">
        <f t="shared" si="61"/>
        <v>0</v>
      </c>
      <c r="M596">
        <f>IF(I596="sell",N595+(N595*E596/100),IF(I596="buy",0,M595))</f>
        <v>0</v>
      </c>
      <c r="N596">
        <f>IF(I596="buy",M595,IF(I596="sell",0,IF(AND(I596="keep",N595&lt;&gt;0),N595+(N595*E595/100),N595)))</f>
        <v>1957.0083111920158</v>
      </c>
      <c r="O596">
        <f>O595+(O595*E596/100)</f>
        <v>2004.7059545218485</v>
      </c>
    </row>
    <row r="597" spans="1:15" x14ac:dyDescent="0.25">
      <c r="A597" s="1">
        <v>45964</v>
      </c>
      <c r="B597">
        <v>0.45452508357657301</v>
      </c>
      <c r="C597">
        <v>0.44399417101865701</v>
      </c>
      <c r="D597">
        <v>-0.48822131615030501</v>
      </c>
      <c r="E597">
        <v>-1.2717530091595199</v>
      </c>
      <c r="F597" s="3">
        <v>0.15001027306942399</v>
      </c>
      <c r="G597" t="str">
        <f t="shared" si="58"/>
        <v>buy</v>
      </c>
      <c r="H597">
        <f t="shared" si="59"/>
        <v>1</v>
      </c>
      <c r="I597" t="str">
        <f t="shared" si="60"/>
        <v>keep</v>
      </c>
      <c r="J597">
        <f t="shared" si="56"/>
        <v>0</v>
      </c>
      <c r="K597">
        <f t="shared" si="57"/>
        <v>0</v>
      </c>
      <c r="L597">
        <f t="shared" si="61"/>
        <v>0</v>
      </c>
      <c r="M597">
        <f>IF(I597="sell",N596+(N596*E597/100),IF(I597="buy",0,M596))</f>
        <v>0</v>
      </c>
      <c r="N597">
        <f>IF(I597="buy",M596,IF(I597="sell",0,IF(AND(I597="keep",N596&lt;&gt;0),N596+(N596*E596/100),N596)))</f>
        <v>1947.4491591352498</v>
      </c>
      <c r="O597">
        <f>O596+(O596*E597/100)</f>
        <v>1979.2110462204168</v>
      </c>
    </row>
    <row r="598" spans="1:15" x14ac:dyDescent="0.25">
      <c r="A598" s="1">
        <v>45965</v>
      </c>
      <c r="B598">
        <v>-1.31490380756961</v>
      </c>
      <c r="C598">
        <v>-2.0684614282668701</v>
      </c>
      <c r="D598">
        <v>0.36796245826942098</v>
      </c>
      <c r="E598">
        <v>1.7175103311484801</v>
      </c>
      <c r="F598" s="3">
        <v>-0.37666687618949501</v>
      </c>
      <c r="G598" t="str">
        <f t="shared" si="58"/>
        <v>sell</v>
      </c>
      <c r="H598">
        <f t="shared" si="59"/>
        <v>1</v>
      </c>
      <c r="I598" t="str">
        <f t="shared" si="60"/>
        <v>sell</v>
      </c>
      <c r="J598">
        <f t="shared" si="56"/>
        <v>0</v>
      </c>
      <c r="K598">
        <f t="shared" si="57"/>
        <v>1</v>
      </c>
      <c r="L598">
        <f t="shared" si="61"/>
        <v>1</v>
      </c>
      <c r="M598">
        <f>IF(I598="sell",N597+(N597*E598/100),IF(I598="buy",0,M597))</f>
        <v>1980.8967996372619</v>
      </c>
      <c r="N598">
        <f>IF(I598="buy",M597,IF(I598="sell",0,IF(AND(I598="keep",N597&lt;&gt;0),N597+(N597*E597/100),N597)))</f>
        <v>0</v>
      </c>
      <c r="O598">
        <f>O597+(O597*E598/100)</f>
        <v>2013.2042004144844</v>
      </c>
    </row>
    <row r="599" spans="1:15" x14ac:dyDescent="0.25">
      <c r="A599" s="1">
        <v>45966</v>
      </c>
      <c r="B599">
        <v>0.82579978365815399</v>
      </c>
      <c r="C599">
        <v>0.724690430326835</v>
      </c>
      <c r="D599">
        <v>3.7035775948712699E-2</v>
      </c>
      <c r="E599">
        <v>-1.11086429381357</v>
      </c>
      <c r="F599" s="3">
        <v>0.31573541344555101</v>
      </c>
      <c r="G599" t="str">
        <f t="shared" si="58"/>
        <v>buy</v>
      </c>
      <c r="H599">
        <f t="shared" si="59"/>
        <v>1</v>
      </c>
      <c r="I599" t="str">
        <f t="shared" si="60"/>
        <v>buy</v>
      </c>
      <c r="J599">
        <f t="shared" si="56"/>
        <v>1</v>
      </c>
      <c r="K599">
        <f t="shared" si="57"/>
        <v>0</v>
      </c>
      <c r="L599">
        <f t="shared" si="61"/>
        <v>1</v>
      </c>
      <c r="M599">
        <f>IF(I599="sell",N598+(N598*E599/100),IF(I599="buy",0,M598))</f>
        <v>0</v>
      </c>
      <c r="N599">
        <f>IF(I599="buy",M598,IF(I599="sell",0,IF(AND(I599="keep",N598&lt;&gt;0),N598+(N598*E598/100),N598)))</f>
        <v>1980.8967996372619</v>
      </c>
      <c r="O599">
        <f>O598+(O598*E599/100)</f>
        <v>1990.840233790525</v>
      </c>
    </row>
    <row r="600" spans="1:15" x14ac:dyDescent="0.25">
      <c r="A600" s="1">
        <v>45967</v>
      </c>
      <c r="B600">
        <v>-1.0053173867952099E-2</v>
      </c>
      <c r="C600">
        <v>-1.91252800181133</v>
      </c>
      <c r="D600">
        <v>-0.13697259247742399</v>
      </c>
      <c r="E600">
        <v>0.74141056728604904</v>
      </c>
      <c r="F600" s="3">
        <v>-0.239688348155225</v>
      </c>
      <c r="G600" t="str">
        <f t="shared" si="58"/>
        <v>sell</v>
      </c>
      <c r="H600">
        <f t="shared" si="59"/>
        <v>0</v>
      </c>
      <c r="I600" t="str">
        <f t="shared" si="60"/>
        <v>sell</v>
      </c>
      <c r="J600">
        <f t="shared" si="56"/>
        <v>0</v>
      </c>
      <c r="K600">
        <f t="shared" si="57"/>
        <v>1</v>
      </c>
      <c r="L600">
        <f t="shared" si="61"/>
        <v>0</v>
      </c>
      <c r="M600">
        <f>IF(I600="sell",N599+(N599*E600/100),IF(I600="buy",0,M599))</f>
        <v>1995.5833778368037</v>
      </c>
      <c r="N600">
        <f>IF(I600="buy",M599,IF(I600="sell",0,IF(AND(I600="keep",N599&lt;&gt;0),N599+(N599*E599/100),N599)))</f>
        <v>0</v>
      </c>
      <c r="O600">
        <f>O599+(O599*E600/100)</f>
        <v>2005.6005336616302</v>
      </c>
    </row>
    <row r="601" spans="1:15" x14ac:dyDescent="0.25">
      <c r="A601" s="1">
        <v>45968</v>
      </c>
      <c r="B601">
        <v>0.489962071370597</v>
      </c>
      <c r="C601">
        <v>-0.27946043159876499</v>
      </c>
      <c r="D601">
        <v>-0.481890357233205</v>
      </c>
      <c r="E601">
        <v>0.223011761330971</v>
      </c>
      <c r="F601" s="3">
        <v>4.9352727777100203E-2</v>
      </c>
      <c r="G601" t="str">
        <f t="shared" si="58"/>
        <v>keep</v>
      </c>
      <c r="H601">
        <f t="shared" si="59"/>
        <v>1</v>
      </c>
      <c r="I601" t="str">
        <f t="shared" si="60"/>
        <v>keep</v>
      </c>
      <c r="J601">
        <f t="shared" si="56"/>
        <v>0</v>
      </c>
      <c r="K601">
        <f t="shared" si="57"/>
        <v>0</v>
      </c>
      <c r="L601">
        <f t="shared" si="61"/>
        <v>0</v>
      </c>
      <c r="M601">
        <f>IF(I601="sell",N600+(N600*E601/100),IF(I601="buy",0,M600))</f>
        <v>1995.5833778368037</v>
      </c>
      <c r="N601">
        <f>IF(I601="buy",M600,IF(I601="sell",0,IF(AND(I601="keep",N600&lt;&gt;0),N600+(N600*E600/100),N600)))</f>
        <v>0</v>
      </c>
      <c r="O601">
        <f>O600+(O600*E601/100)</f>
        <v>2010.0732587370123</v>
      </c>
    </row>
    <row r="602" spans="1:15" x14ac:dyDescent="0.25">
      <c r="A602" s="1">
        <v>45971</v>
      </c>
      <c r="B602">
        <v>2.8104191900860198</v>
      </c>
      <c r="C602">
        <v>2.2024495614905102</v>
      </c>
      <c r="D602">
        <v>0.45486792422775302</v>
      </c>
      <c r="E602">
        <v>0.51179249947648198</v>
      </c>
      <c r="F602" s="3">
        <v>0.88106488609695999</v>
      </c>
      <c r="G602" t="str">
        <f t="shared" si="58"/>
        <v>buy</v>
      </c>
      <c r="H602">
        <f t="shared" si="59"/>
        <v>1</v>
      </c>
      <c r="I602" t="str">
        <f t="shared" si="60"/>
        <v>buy</v>
      </c>
      <c r="J602">
        <f t="shared" si="56"/>
        <v>1</v>
      </c>
      <c r="K602">
        <f t="shared" si="57"/>
        <v>0</v>
      </c>
      <c r="L602">
        <f t="shared" si="61"/>
        <v>1</v>
      </c>
      <c r="M602">
        <f>IF(I602="sell",N601+(N601*E602/100),IF(I602="buy",0,M601))</f>
        <v>0</v>
      </c>
      <c r="N602">
        <f>IF(I602="buy",M601,IF(I602="sell",0,IF(AND(I602="keep",N601&lt;&gt;0),N601+(N601*E601/100),N601)))</f>
        <v>1995.5833778368037</v>
      </c>
      <c r="O602">
        <f>O601+(O601*E602/100)</f>
        <v>2020.3606629092108</v>
      </c>
    </row>
    <row r="603" spans="1:15" x14ac:dyDescent="0.25">
      <c r="A603" s="1">
        <v>45972</v>
      </c>
      <c r="B603">
        <v>-0.121601250972869</v>
      </c>
      <c r="C603">
        <v>-0.30552394832966601</v>
      </c>
      <c r="D603">
        <v>2.1601185771556701</v>
      </c>
      <c r="E603">
        <v>1.15120761311249</v>
      </c>
      <c r="F603" s="3">
        <v>0.27666864511044897</v>
      </c>
      <c r="G603" t="str">
        <f t="shared" si="58"/>
        <v>buy</v>
      </c>
      <c r="H603">
        <f t="shared" si="59"/>
        <v>1</v>
      </c>
      <c r="I603" t="str">
        <f t="shared" si="60"/>
        <v>keep</v>
      </c>
      <c r="J603">
        <f t="shared" si="56"/>
        <v>0</v>
      </c>
      <c r="K603">
        <f t="shared" si="57"/>
        <v>0</v>
      </c>
      <c r="L603">
        <f t="shared" si="61"/>
        <v>0</v>
      </c>
      <c r="M603">
        <f>IF(I603="sell",N602+(N602*E603/100),IF(I603="buy",0,M602))</f>
        <v>0</v>
      </c>
      <c r="N603">
        <f>IF(I603="buy",M602,IF(I603="sell",0,IF(AND(I603="keep",N602&lt;&gt;0),N602+(N602*E602/100),N602)))</f>
        <v>2005.7966238853719</v>
      </c>
      <c r="O603">
        <f>O602+(O602*E603/100)</f>
        <v>2043.6192086729516</v>
      </c>
    </row>
    <row r="604" spans="1:15" x14ac:dyDescent="0.25">
      <c r="A604" s="1">
        <v>45973</v>
      </c>
      <c r="B604">
        <v>2.3765487069725002</v>
      </c>
      <c r="C604">
        <v>-6.3290040263452793E-2</v>
      </c>
      <c r="D604">
        <v>-0.646684388482066</v>
      </c>
      <c r="E604">
        <v>0.218871288737365</v>
      </c>
      <c r="F604" s="3">
        <v>0.335188126153173</v>
      </c>
      <c r="G604" t="str">
        <f t="shared" si="58"/>
        <v>buy</v>
      </c>
      <c r="H604">
        <f t="shared" si="59"/>
        <v>1</v>
      </c>
      <c r="I604" t="str">
        <f t="shared" si="60"/>
        <v>keep</v>
      </c>
      <c r="J604">
        <f t="shared" si="56"/>
        <v>0</v>
      </c>
      <c r="K604">
        <f t="shared" si="57"/>
        <v>0</v>
      </c>
      <c r="L604">
        <f t="shared" si="61"/>
        <v>0</v>
      </c>
      <c r="M604">
        <f>IF(I604="sell",N603+(N603*E604/100),IF(I604="buy",0,M603))</f>
        <v>0</v>
      </c>
      <c r="N604">
        <f>IF(I604="buy",M603,IF(I604="sell",0,IF(AND(I604="keep",N603&lt;&gt;0),N603+(N603*E603/100),N603)))</f>
        <v>2028.8875073230936</v>
      </c>
      <c r="O604">
        <f>O603+(O603*E604/100)</f>
        <v>2048.0921043718586</v>
      </c>
    </row>
    <row r="605" spans="1:15" x14ac:dyDescent="0.25">
      <c r="A605" s="1">
        <v>45974</v>
      </c>
      <c r="B605">
        <v>-0.41623062521347598</v>
      </c>
      <c r="C605">
        <v>-2.05299354995643</v>
      </c>
      <c r="D605">
        <v>-0.19014480979659901</v>
      </c>
      <c r="E605">
        <v>0.80803434043894495</v>
      </c>
      <c r="F605" s="3">
        <v>-0.32332261764935499</v>
      </c>
      <c r="G605" t="str">
        <f t="shared" si="58"/>
        <v>sell</v>
      </c>
      <c r="H605">
        <f t="shared" si="59"/>
        <v>1</v>
      </c>
      <c r="I605" t="str">
        <f t="shared" si="60"/>
        <v>sell</v>
      </c>
      <c r="J605">
        <f t="shared" si="56"/>
        <v>0</v>
      </c>
      <c r="K605">
        <f t="shared" si="57"/>
        <v>1</v>
      </c>
      <c r="L605">
        <f t="shared" si="61"/>
        <v>1</v>
      </c>
      <c r="M605">
        <f>IF(I605="sell",N604+(N604*E605/100),IF(I605="buy",0,M604))</f>
        <v>2045.2816151111399</v>
      </c>
      <c r="N605">
        <f>IF(I605="buy",M604,IF(I605="sell",0,IF(AND(I605="keep",N604&lt;&gt;0),N604+(N604*E604/100),N604)))</f>
        <v>0</v>
      </c>
      <c r="O605">
        <f>O604+(O604*E605/100)</f>
        <v>2064.641391899002</v>
      </c>
    </row>
    <row r="606" spans="1:15" x14ac:dyDescent="0.25">
      <c r="A606" s="1">
        <v>45975</v>
      </c>
      <c r="B606">
        <v>-2.3716784973033</v>
      </c>
      <c r="C606">
        <v>5.9132654384908001E-2</v>
      </c>
      <c r="D606">
        <v>-0.197841553680633</v>
      </c>
      <c r="E606">
        <v>-1.3864804847574399</v>
      </c>
      <c r="F606" s="3">
        <v>-0.277010245546573</v>
      </c>
      <c r="G606" t="str">
        <f t="shared" si="58"/>
        <v>sell</v>
      </c>
      <c r="H606">
        <f t="shared" si="59"/>
        <v>0</v>
      </c>
      <c r="I606" t="str">
        <f t="shared" si="60"/>
        <v>keep</v>
      </c>
      <c r="J606">
        <f t="shared" si="56"/>
        <v>0</v>
      </c>
      <c r="K606">
        <f t="shared" si="57"/>
        <v>0</v>
      </c>
      <c r="L606">
        <f t="shared" si="61"/>
        <v>0</v>
      </c>
      <c r="M606">
        <f>IF(I606="sell",N605+(N605*E606/100),IF(I606="buy",0,M605))</f>
        <v>2045.2816151111399</v>
      </c>
      <c r="N606">
        <f>IF(I606="buy",M605,IF(I606="sell",0,IF(AND(I606="keep",N605&lt;&gt;0),N605+(N605*E605/100),N605)))</f>
        <v>0</v>
      </c>
      <c r="O606">
        <f>O605+(O605*E606/100)</f>
        <v>2036.015541920098</v>
      </c>
    </row>
    <row r="607" spans="1:15" x14ac:dyDescent="0.25">
      <c r="A607" s="1">
        <v>45978</v>
      </c>
      <c r="B607">
        <v>-0.47216088577723903</v>
      </c>
      <c r="C607">
        <v>-0.83300668318778603</v>
      </c>
      <c r="D607">
        <v>-1.81711836587731</v>
      </c>
      <c r="E607">
        <v>8.7875472594634005E-2</v>
      </c>
      <c r="F607" s="3">
        <v>-0.334321365187499</v>
      </c>
      <c r="G607" t="str">
        <f t="shared" si="58"/>
        <v>sell</v>
      </c>
      <c r="H607">
        <f t="shared" si="59"/>
        <v>1</v>
      </c>
      <c r="I607" t="str">
        <f t="shared" si="60"/>
        <v>keep</v>
      </c>
      <c r="J607">
        <f t="shared" si="56"/>
        <v>0</v>
      </c>
      <c r="K607">
        <f t="shared" si="57"/>
        <v>0</v>
      </c>
      <c r="L607">
        <f t="shared" si="61"/>
        <v>0</v>
      </c>
      <c r="M607">
        <f>IF(I607="sell",N606+(N606*E607/100),IF(I607="buy",0,M606))</f>
        <v>2045.2816151111399</v>
      </c>
      <c r="N607">
        <f>IF(I607="buy",M606,IF(I607="sell",0,IF(AND(I607="keep",N606&lt;&gt;0),N606+(N606*E606/100),N606)))</f>
        <v>0</v>
      </c>
      <c r="O607">
        <f>O606+(O606*E607/100)</f>
        <v>2037.8047001996606</v>
      </c>
    </row>
    <row r="608" spans="1:15" x14ac:dyDescent="0.25">
      <c r="A608" s="1">
        <v>45979</v>
      </c>
      <c r="B608">
        <v>-0.172062038590692</v>
      </c>
      <c r="C608">
        <v>-1.19685996339926</v>
      </c>
      <c r="D608">
        <v>-7.4736462687852003E-3</v>
      </c>
      <c r="E608">
        <v>-0.74626896913837504</v>
      </c>
      <c r="F608" s="3">
        <v>-0.13805323002391301</v>
      </c>
      <c r="G608" t="str">
        <f t="shared" si="58"/>
        <v>keep</v>
      </c>
      <c r="H608">
        <f t="shared" si="59"/>
        <v>1</v>
      </c>
      <c r="I608" t="str">
        <f t="shared" si="60"/>
        <v>keep</v>
      </c>
      <c r="J608">
        <f t="shared" si="56"/>
        <v>0</v>
      </c>
      <c r="K608">
        <f t="shared" si="57"/>
        <v>0</v>
      </c>
      <c r="L608">
        <f t="shared" si="61"/>
        <v>0</v>
      </c>
      <c r="M608">
        <f>IF(I608="sell",N607+(N607*E608/100),IF(I608="buy",0,M607))</f>
        <v>2045.2816151111399</v>
      </c>
      <c r="N608">
        <f>IF(I608="buy",M607,IF(I608="sell",0,IF(AND(I608="keep",N607&lt;&gt;0),N607+(N607*E607/100),N607)))</f>
        <v>0</v>
      </c>
      <c r="O608">
        <f>O607+(O607*E608/100)</f>
        <v>2022.5971960704273</v>
      </c>
    </row>
    <row r="609" spans="1:15" x14ac:dyDescent="0.25">
      <c r="A609" s="1">
        <v>45980</v>
      </c>
      <c r="B609">
        <v>0.40380917801141603</v>
      </c>
      <c r="C609">
        <v>0.56082668750374598</v>
      </c>
      <c r="D609">
        <v>0.41878369240326802</v>
      </c>
      <c r="E609">
        <v>-0.39805462254912599</v>
      </c>
      <c r="F609" s="3">
        <v>0.27953958296327902</v>
      </c>
      <c r="G609" t="str">
        <f t="shared" si="58"/>
        <v>buy</v>
      </c>
      <c r="H609">
        <f t="shared" si="59"/>
        <v>0</v>
      </c>
      <c r="I609" t="str">
        <f t="shared" si="60"/>
        <v>buy</v>
      </c>
      <c r="J609">
        <f t="shared" si="56"/>
        <v>1</v>
      </c>
      <c r="K609">
        <f t="shared" si="57"/>
        <v>0</v>
      </c>
      <c r="L609">
        <f t="shared" si="61"/>
        <v>0</v>
      </c>
      <c r="M609">
        <f>IF(I609="sell",N608+(N608*E609/100),IF(I609="buy",0,M608))</f>
        <v>0</v>
      </c>
      <c r="N609">
        <f>IF(I609="buy",M608,IF(I609="sell",0,IF(AND(I609="keep",N608&lt;&gt;0),N608+(N608*E608/100),N608)))</f>
        <v>2045.2816151111399</v>
      </c>
      <c r="O609">
        <f>O608+(O608*E609/100)</f>
        <v>2014.54615443592</v>
      </c>
    </row>
    <row r="610" spans="1:15" x14ac:dyDescent="0.25">
      <c r="A610" s="1">
        <v>45981</v>
      </c>
      <c r="B610">
        <v>-0.51989973332350303</v>
      </c>
      <c r="C610">
        <v>-2.3787593891096099</v>
      </c>
      <c r="D610">
        <v>-0.86014208355426003</v>
      </c>
      <c r="E610">
        <v>-0.35523944085211701</v>
      </c>
      <c r="F610" s="3">
        <v>-0.481968166916109</v>
      </c>
      <c r="G610" t="str">
        <f t="shared" si="58"/>
        <v>sell</v>
      </c>
      <c r="H610">
        <f t="shared" si="59"/>
        <v>1</v>
      </c>
      <c r="I610" t="str">
        <f t="shared" si="60"/>
        <v>sell</v>
      </c>
      <c r="J610">
        <f t="shared" si="56"/>
        <v>0</v>
      </c>
      <c r="K610">
        <f t="shared" si="57"/>
        <v>1</v>
      </c>
      <c r="L610">
        <f t="shared" si="61"/>
        <v>1</v>
      </c>
      <c r="M610">
        <f>IF(I610="sell",N609+(N609*E610/100),IF(I610="buy",0,M609))</f>
        <v>2038.0159681377679</v>
      </c>
      <c r="N610">
        <f>IF(I610="buy",M609,IF(I610="sell",0,IF(AND(I610="keep",N609&lt;&gt;0),N609+(N609*E609/100),N609)))</f>
        <v>0</v>
      </c>
      <c r="O610">
        <f>O609+(O609*E610/100)</f>
        <v>2007.3896919411941</v>
      </c>
    </row>
    <row r="611" spans="1:15" x14ac:dyDescent="0.25">
      <c r="A611" s="1">
        <v>45982</v>
      </c>
      <c r="B611">
        <v>0.49796502334216097</v>
      </c>
      <c r="C611">
        <v>0.76987827792218599</v>
      </c>
      <c r="D611">
        <v>1.9680714495305001</v>
      </c>
      <c r="E611">
        <v>-0.40107018915305198</v>
      </c>
      <c r="F611" s="3">
        <v>0.50839235061525101</v>
      </c>
      <c r="G611" t="str">
        <f t="shared" si="58"/>
        <v>buy</v>
      </c>
      <c r="H611">
        <f t="shared" si="59"/>
        <v>1</v>
      </c>
      <c r="I611" t="str">
        <f t="shared" si="60"/>
        <v>buy</v>
      </c>
      <c r="J611">
        <f t="shared" si="56"/>
        <v>1</v>
      </c>
      <c r="K611">
        <f t="shared" si="57"/>
        <v>0</v>
      </c>
      <c r="L611">
        <f t="shared" si="61"/>
        <v>1</v>
      </c>
      <c r="M611">
        <f>IF(I611="sell",N610+(N610*E611/100),IF(I611="buy",0,M610))</f>
        <v>0</v>
      </c>
      <c r="N611">
        <f>IF(I611="buy",M610,IF(I611="sell",0,IF(AND(I611="keep",N610&lt;&gt;0),N610+(N610*E610/100),N610)))</f>
        <v>2038.0159681377679</v>
      </c>
      <c r="O611">
        <f>O610+(O610*E611/100)</f>
        <v>1999.3386503066868</v>
      </c>
    </row>
    <row r="612" spans="1:15" x14ac:dyDescent="0.25">
      <c r="A612" s="1">
        <v>45985</v>
      </c>
      <c r="B612">
        <v>0.37284939666717398</v>
      </c>
      <c r="C612">
        <v>2.6167101507897201</v>
      </c>
      <c r="D612">
        <v>1.6317445772254799</v>
      </c>
      <c r="E612">
        <v>6.71113619348018E-2</v>
      </c>
      <c r="F612" s="3">
        <v>0.74846691341449301</v>
      </c>
      <c r="G612" t="str">
        <f t="shared" si="58"/>
        <v>buy</v>
      </c>
      <c r="H612">
        <f t="shared" si="59"/>
        <v>1</v>
      </c>
      <c r="I612" t="str">
        <f t="shared" si="60"/>
        <v>keep</v>
      </c>
      <c r="J612">
        <f t="shared" si="56"/>
        <v>0</v>
      </c>
      <c r="K612">
        <f t="shared" si="57"/>
        <v>0</v>
      </c>
      <c r="L612">
        <f t="shared" si="61"/>
        <v>0</v>
      </c>
      <c r="M612">
        <f>IF(I612="sell",N611+(N611*E612/100),IF(I612="buy",0,M611))</f>
        <v>0</v>
      </c>
      <c r="N612">
        <f>IF(I612="buy",M611,IF(I612="sell",0,IF(AND(I612="keep",N611&lt;&gt;0),N611+(N611*E611/100),N611)))</f>
        <v>2029.8420936393884</v>
      </c>
      <c r="O612">
        <f>O611+(O611*E612/100)</f>
        <v>2000.6804337045965</v>
      </c>
    </row>
    <row r="613" spans="1:15" x14ac:dyDescent="0.25">
      <c r="A613" s="1">
        <v>45986</v>
      </c>
      <c r="B613">
        <v>1.1559494146388301</v>
      </c>
      <c r="C613">
        <v>0.58097064947490995</v>
      </c>
      <c r="D613">
        <v>0.38054064289314499</v>
      </c>
      <c r="E613">
        <v>0.60362275995269299</v>
      </c>
      <c r="F613" s="3">
        <v>0.38390185222440198</v>
      </c>
      <c r="G613" t="str">
        <f t="shared" si="58"/>
        <v>buy</v>
      </c>
      <c r="H613">
        <f t="shared" si="59"/>
        <v>1</v>
      </c>
      <c r="I613" t="str">
        <f t="shared" si="60"/>
        <v>keep</v>
      </c>
      <c r="J613">
        <f t="shared" si="56"/>
        <v>0</v>
      </c>
      <c r="K613">
        <f t="shared" si="57"/>
        <v>0</v>
      </c>
      <c r="L613">
        <f t="shared" si="61"/>
        <v>0</v>
      </c>
      <c r="M613">
        <f>IF(I613="sell",N612+(N612*E613/100),IF(I613="buy",0,M612))</f>
        <v>0</v>
      </c>
      <c r="N613">
        <f>IF(I613="buy",M612,IF(I613="sell",0,IF(AND(I613="keep",N612&lt;&gt;0),N612+(N612*E612/100),N612)))</f>
        <v>2031.2043483135558</v>
      </c>
      <c r="O613">
        <f>O612+(O612*E613/100)</f>
        <v>2012.7569961563577</v>
      </c>
    </row>
    <row r="614" spans="1:15" x14ac:dyDescent="0.25">
      <c r="A614" s="1">
        <v>45987</v>
      </c>
      <c r="B614">
        <v>0.62814067387810801</v>
      </c>
      <c r="C614">
        <v>0.87367870470122999</v>
      </c>
      <c r="D614">
        <v>0.20940411225382999</v>
      </c>
      <c r="E614">
        <v>0.80000135633679903</v>
      </c>
      <c r="F614" s="3">
        <v>0.33641796073681202</v>
      </c>
      <c r="G614" t="str">
        <f t="shared" si="58"/>
        <v>buy</v>
      </c>
      <c r="H614">
        <f t="shared" si="59"/>
        <v>0</v>
      </c>
      <c r="I614" t="str">
        <f t="shared" si="60"/>
        <v>keep</v>
      </c>
      <c r="J614">
        <f t="shared" si="56"/>
        <v>0</v>
      </c>
      <c r="K614">
        <f t="shared" si="57"/>
        <v>0</v>
      </c>
      <c r="L614">
        <f t="shared" si="61"/>
        <v>0</v>
      </c>
      <c r="M614">
        <f>IF(I614="sell",N613+(N613*E614/100),IF(I614="buy",0,M613))</f>
        <v>0</v>
      </c>
      <c r="N614">
        <f>IF(I614="buy",M613,IF(I614="sell",0,IF(AND(I614="keep",N613&lt;&gt;0),N613+(N613*E613/100),N613)))</f>
        <v>2043.4651600611253</v>
      </c>
      <c r="O614">
        <f>O613+(O613*E614/100)</f>
        <v>2028.8590794253723</v>
      </c>
    </row>
    <row r="615" spans="1:15" x14ac:dyDescent="0.25">
      <c r="A615" s="1">
        <v>45992</v>
      </c>
      <c r="B615">
        <v>0.49783090278847603</v>
      </c>
      <c r="C615">
        <v>-0.36186912293828499</v>
      </c>
      <c r="D615">
        <v>1.5241168753721701</v>
      </c>
      <c r="E615">
        <v>-0.41476192034569598</v>
      </c>
      <c r="F615" s="3">
        <v>0.271627542824324</v>
      </c>
      <c r="G615" t="str">
        <f t="shared" si="58"/>
        <v>buy</v>
      </c>
      <c r="H615">
        <f t="shared" si="59"/>
        <v>1</v>
      </c>
      <c r="I615" t="str">
        <f t="shared" si="60"/>
        <v>keep</v>
      </c>
      <c r="J615">
        <f t="shared" si="56"/>
        <v>0</v>
      </c>
      <c r="K615">
        <f t="shared" si="57"/>
        <v>0</v>
      </c>
      <c r="L615">
        <f t="shared" si="61"/>
        <v>0</v>
      </c>
      <c r="M615">
        <f>IF(I615="sell",N614+(N614*E615/100),IF(I615="buy",0,M614))</f>
        <v>0</v>
      </c>
      <c r="N615">
        <f>IF(I615="buy",M614,IF(I615="sell",0,IF(AND(I615="keep",N614&lt;&gt;0),N614+(N614*E614/100),N614)))</f>
        <v>2059.8129090578841</v>
      </c>
      <c r="O615">
        <f>O614+(O614*E615/100)</f>
        <v>2020.4441445464397</v>
      </c>
    </row>
    <row r="616" spans="1:15" x14ac:dyDescent="0.25">
      <c r="A616" s="1">
        <v>45993</v>
      </c>
      <c r="B616">
        <v>-1.24312290848075</v>
      </c>
      <c r="C616">
        <v>0.84051229008674699</v>
      </c>
      <c r="D616">
        <v>1.0914857899228601</v>
      </c>
      <c r="E616">
        <v>2.1924893609504E-2</v>
      </c>
      <c r="F616" s="3">
        <v>0.16339187279164399</v>
      </c>
      <c r="G616" t="str">
        <f t="shared" si="58"/>
        <v>buy</v>
      </c>
      <c r="H616">
        <f t="shared" si="59"/>
        <v>0</v>
      </c>
      <c r="I616" t="str">
        <f t="shared" si="60"/>
        <v>keep</v>
      </c>
      <c r="J616">
        <f t="shared" si="56"/>
        <v>0</v>
      </c>
      <c r="K616">
        <f t="shared" si="57"/>
        <v>0</v>
      </c>
      <c r="L616">
        <f t="shared" si="61"/>
        <v>0</v>
      </c>
      <c r="M616">
        <f>IF(I616="sell",N615+(N615*E616/100),IF(I616="buy",0,M615))</f>
        <v>0</v>
      </c>
      <c r="N616">
        <f>IF(I616="buy",M615,IF(I616="sell",0,IF(AND(I616="keep",N615&lt;&gt;0),N615+(N615*E615/100),N615)))</f>
        <v>2051.2695894807471</v>
      </c>
      <c r="O616">
        <f>O615+(O615*E616/100)</f>
        <v>2020.887124775571</v>
      </c>
    </row>
    <row r="617" spans="1:15" x14ac:dyDescent="0.25">
      <c r="A617" s="1">
        <v>45994</v>
      </c>
      <c r="B617">
        <v>0.30334177459079198</v>
      </c>
      <c r="C617">
        <v>0.198309463032875</v>
      </c>
      <c r="D617">
        <v>-0.71281614574902896</v>
      </c>
      <c r="E617">
        <v>-1.22726574661933</v>
      </c>
      <c r="F617" s="3">
        <v>6.8899193719036994E-2</v>
      </c>
      <c r="G617" t="str">
        <f t="shared" si="58"/>
        <v>keep</v>
      </c>
      <c r="H617">
        <f t="shared" si="59"/>
        <v>0</v>
      </c>
      <c r="I617" t="str">
        <f t="shared" si="60"/>
        <v>keep</v>
      </c>
      <c r="J617">
        <f t="shared" si="56"/>
        <v>0</v>
      </c>
      <c r="K617">
        <f t="shared" si="57"/>
        <v>0</v>
      </c>
      <c r="L617">
        <f t="shared" si="61"/>
        <v>0</v>
      </c>
      <c r="M617">
        <f>IF(I617="sell",N616+(N616*E617/100),IF(I617="buy",0,M616))</f>
        <v>0</v>
      </c>
      <c r="N617">
        <f>IF(I617="buy",M616,IF(I617="sell",0,IF(AND(I617="keep",N616&lt;&gt;0),N616+(N616*E616/100),N616)))</f>
        <v>2051.7193281558848</v>
      </c>
      <c r="O617">
        <f>O616+(O616*E617/100)</f>
        <v>1996.0854693153601</v>
      </c>
    </row>
    <row r="618" spans="1:15" x14ac:dyDescent="0.25">
      <c r="A618" s="1">
        <v>45995</v>
      </c>
      <c r="B618">
        <v>0.29766867290701399</v>
      </c>
      <c r="C618">
        <v>-9.7005861234789006E-2</v>
      </c>
      <c r="D618">
        <v>-1.2141410394363501</v>
      </c>
      <c r="E618">
        <v>0</v>
      </c>
      <c r="F618" s="3">
        <v>-3.81551041623766E-2</v>
      </c>
      <c r="G618" t="str">
        <f t="shared" si="58"/>
        <v>keep</v>
      </c>
      <c r="H618">
        <f t="shared" si="59"/>
        <v>1</v>
      </c>
      <c r="I618" t="str">
        <f t="shared" si="60"/>
        <v>keep</v>
      </c>
      <c r="J618">
        <f t="shared" si="56"/>
        <v>0</v>
      </c>
      <c r="K618">
        <f t="shared" si="57"/>
        <v>0</v>
      </c>
      <c r="L618">
        <f t="shared" si="61"/>
        <v>0</v>
      </c>
      <c r="M618">
        <f>IF(I618="sell",N617+(N617*E618/100),IF(I618="buy",0,M617))</f>
        <v>0</v>
      </c>
      <c r="N618">
        <f>IF(I618="buy",M617,IF(I618="sell",0,IF(AND(I618="keep",N617&lt;&gt;0),N617+(N617*E617/100),N617)))</f>
        <v>2026.5392796246595</v>
      </c>
      <c r="O618">
        <f>O617+(O617*E618/100)</f>
        <v>1996.0854693153601</v>
      </c>
    </row>
    <row r="619" spans="1:15" x14ac:dyDescent="0.25">
      <c r="A619" s="1">
        <v>45996</v>
      </c>
      <c r="B619">
        <v>2.6119419423165001E-2</v>
      </c>
      <c r="C619">
        <v>0.43136916573203099</v>
      </c>
      <c r="D619">
        <v>-0.68400902894092397</v>
      </c>
      <c r="E619">
        <v>-1.02063254401459</v>
      </c>
      <c r="F619" s="3">
        <v>6.6056278454485196E-2</v>
      </c>
      <c r="G619" t="str">
        <f t="shared" si="58"/>
        <v>keep</v>
      </c>
      <c r="H619">
        <f t="shared" si="59"/>
        <v>1</v>
      </c>
      <c r="I619" t="str">
        <f t="shared" si="60"/>
        <v>keep</v>
      </c>
      <c r="J619">
        <f t="shared" si="56"/>
        <v>0</v>
      </c>
      <c r="K619">
        <f t="shared" si="57"/>
        <v>0</v>
      </c>
      <c r="L619">
        <f t="shared" si="61"/>
        <v>0</v>
      </c>
      <c r="M619">
        <f>IF(I619="sell",N618+(N618*E619/100),IF(I619="buy",0,M618))</f>
        <v>0</v>
      </c>
      <c r="N619">
        <f>IF(I619="buy",M618,IF(I619="sell",0,IF(AND(I619="keep",N618&lt;&gt;0),N618+(N618*E618/100),N618)))</f>
        <v>2026.5392796246595</v>
      </c>
      <c r="O619">
        <f>O618+(O618*E619/100)</f>
        <v>1975.7127714091812</v>
      </c>
    </row>
    <row r="620" spans="1:15" x14ac:dyDescent="0.25">
      <c r="A620" s="1">
        <v>45999</v>
      </c>
      <c r="B620">
        <v>-0.61002415502330298</v>
      </c>
      <c r="C620">
        <v>-0.24949959443012401</v>
      </c>
      <c r="D620">
        <v>-0.31924246171044501</v>
      </c>
      <c r="E620">
        <v>1.70365010341839</v>
      </c>
      <c r="F620" s="3">
        <v>-8.9831861697543799E-2</v>
      </c>
      <c r="G620" t="str">
        <f t="shared" si="58"/>
        <v>keep</v>
      </c>
      <c r="H620">
        <f t="shared" si="59"/>
        <v>1</v>
      </c>
      <c r="I620" t="str">
        <f t="shared" si="60"/>
        <v>keep</v>
      </c>
      <c r="J620">
        <f t="shared" si="56"/>
        <v>0</v>
      </c>
      <c r="K620">
        <f t="shared" si="57"/>
        <v>0</v>
      </c>
      <c r="L620">
        <f t="shared" si="61"/>
        <v>0</v>
      </c>
      <c r="M620">
        <f>IF(I620="sell",N619+(N619*E620/100),IF(I620="buy",0,M619))</f>
        <v>0</v>
      </c>
      <c r="N620">
        <f>IF(I620="buy",M619,IF(I620="sell",0,IF(AND(I620="keep",N619&lt;&gt;0),N619+(N619*E619/100),N619)))</f>
        <v>2005.8557602195713</v>
      </c>
      <c r="O620">
        <f>O619+(O619*E620/100)</f>
        <v>2009.372004082544</v>
      </c>
    </row>
    <row r="621" spans="1:15" x14ac:dyDescent="0.25">
      <c r="A621" s="1">
        <v>46000</v>
      </c>
      <c r="B621">
        <v>0.46570498400888499</v>
      </c>
      <c r="C621">
        <v>0.15896798462982001</v>
      </c>
      <c r="D621">
        <v>-0.25550467279455902</v>
      </c>
      <c r="E621">
        <v>-0.198369307266266</v>
      </c>
      <c r="F621" s="3">
        <v>0.140699475120345</v>
      </c>
      <c r="G621" t="str">
        <f t="shared" si="58"/>
        <v>keep</v>
      </c>
      <c r="H621">
        <f t="shared" si="59"/>
        <v>1</v>
      </c>
      <c r="I621" t="str">
        <f t="shared" si="60"/>
        <v>keep</v>
      </c>
      <c r="J621">
        <f t="shared" si="56"/>
        <v>0</v>
      </c>
      <c r="K621">
        <f t="shared" si="57"/>
        <v>0</v>
      </c>
      <c r="L621">
        <f t="shared" si="61"/>
        <v>0</v>
      </c>
      <c r="M621">
        <f>IF(I621="sell",N620+(N620*E621/100),IF(I621="buy",0,M620))</f>
        <v>0</v>
      </c>
      <c r="N621">
        <f>IF(I621="buy",M620,IF(I621="sell",0,IF(AND(I621="keep",N620&lt;&gt;0),N620+(N620*E620/100),N620)))</f>
        <v>2040.0285239529758</v>
      </c>
      <c r="O621">
        <f>O620+(O620*E621/100)</f>
        <v>2005.3860267576431</v>
      </c>
    </row>
    <row r="622" spans="1:15" x14ac:dyDescent="0.25">
      <c r="A622" s="1">
        <v>46001</v>
      </c>
      <c r="B622">
        <v>-0.244854458138654</v>
      </c>
      <c r="C622">
        <v>0.41977211262291803</v>
      </c>
      <c r="D622">
        <v>0.57724444252624796</v>
      </c>
      <c r="E622">
        <v>0.57420968030006403</v>
      </c>
      <c r="F622" s="3">
        <v>0.17647008955080201</v>
      </c>
      <c r="G622" t="str">
        <f t="shared" si="58"/>
        <v>buy</v>
      </c>
      <c r="H622">
        <f t="shared" si="59"/>
        <v>0</v>
      </c>
      <c r="I622" t="str">
        <f t="shared" si="60"/>
        <v>keep</v>
      </c>
      <c r="J622">
        <f t="shared" si="56"/>
        <v>0</v>
      </c>
      <c r="K622">
        <f t="shared" si="57"/>
        <v>0</v>
      </c>
      <c r="L622">
        <f t="shared" si="61"/>
        <v>0</v>
      </c>
      <c r="M622">
        <f>IF(I622="sell",N621+(N621*E622/100),IF(I622="buy",0,M621))</f>
        <v>0</v>
      </c>
      <c r="N622">
        <f>IF(I622="buy",M621,IF(I622="sell",0,IF(AND(I622="keep",N621&lt;&gt;0),N621+(N621*E621/100),N621)))</f>
        <v>2035.9817335019761</v>
      </c>
      <c r="O622">
        <f>O621+(O621*E622/100)</f>
        <v>2016.9011474506704</v>
      </c>
    </row>
    <row r="623" spans="1:15" x14ac:dyDescent="0.25">
      <c r="A623" s="1">
        <v>46002</v>
      </c>
      <c r="B623">
        <v>2.1232508752677899</v>
      </c>
      <c r="C623">
        <v>-0.34818618049716699</v>
      </c>
      <c r="D623">
        <v>-0.26902934331158801</v>
      </c>
      <c r="E623">
        <v>-0.65875983976596497</v>
      </c>
      <c r="F623" s="3">
        <v>0.30007367453024297</v>
      </c>
      <c r="G623" t="str">
        <f t="shared" si="58"/>
        <v>buy</v>
      </c>
      <c r="H623">
        <f t="shared" si="59"/>
        <v>1</v>
      </c>
      <c r="I623" t="str">
        <f t="shared" si="60"/>
        <v>keep</v>
      </c>
      <c r="J623">
        <f t="shared" si="56"/>
        <v>0</v>
      </c>
      <c r="K623">
        <f t="shared" si="57"/>
        <v>0</v>
      </c>
      <c r="L623">
        <f t="shared" si="61"/>
        <v>0</v>
      </c>
      <c r="M623">
        <f>IF(I623="sell",N622+(N622*E623/100),IF(I623="buy",0,M622))</f>
        <v>0</v>
      </c>
      <c r="N623">
        <f>IF(I623="buy",M622,IF(I623="sell",0,IF(AND(I623="keep",N622&lt;&gt;0),N622+(N622*E622/100),N622)))</f>
        <v>2047.6725377048856</v>
      </c>
      <c r="O623">
        <f>O622+(O622*E623/100)</f>
        <v>2003.6146126834865</v>
      </c>
    </row>
    <row r="624" spans="1:15" x14ac:dyDescent="0.25">
      <c r="A624" s="1">
        <v>46003</v>
      </c>
      <c r="B624">
        <v>0.34068597961147601</v>
      </c>
      <c r="C624">
        <v>-1.9074430952618999</v>
      </c>
      <c r="D624">
        <v>8.9918354529228098E-2</v>
      </c>
      <c r="E624">
        <v>1.01679723122469</v>
      </c>
      <c r="F624" s="3">
        <v>-0.17013021687249499</v>
      </c>
      <c r="G624" t="str">
        <f t="shared" si="58"/>
        <v>sell</v>
      </c>
      <c r="H624">
        <f t="shared" si="59"/>
        <v>0</v>
      </c>
      <c r="I624" t="str">
        <f t="shared" si="60"/>
        <v>sell</v>
      </c>
      <c r="J624">
        <f t="shared" si="56"/>
        <v>0</v>
      </c>
      <c r="K624">
        <f t="shared" si="57"/>
        <v>1</v>
      </c>
      <c r="L624">
        <f t="shared" si="61"/>
        <v>0</v>
      </c>
      <c r="M624">
        <f>IF(I624="sell",N623+(N623*E624/100),IF(I624="buy",0,M623))</f>
        <v>2068.4932153728173</v>
      </c>
      <c r="N624">
        <f>IF(I624="buy",M623,IF(I624="sell",0,IF(AND(I624="keep",N623&lt;&gt;0),N623+(N623*E623/100),N623)))</f>
        <v>0</v>
      </c>
      <c r="O624">
        <f>O623+(O623*E624/100)</f>
        <v>2023.9873105896654</v>
      </c>
    </row>
    <row r="625" spans="1:15" x14ac:dyDescent="0.25">
      <c r="A625" s="1">
        <v>46006</v>
      </c>
      <c r="B625">
        <v>0.15348707021605101</v>
      </c>
      <c r="C625">
        <v>-0.51380054114783502</v>
      </c>
      <c r="D625">
        <v>-1.498495560596</v>
      </c>
      <c r="E625">
        <v>0.328222557281177</v>
      </c>
      <c r="F625" s="3">
        <v>-0.15650678696716799</v>
      </c>
      <c r="G625" t="str">
        <f t="shared" si="58"/>
        <v>sell</v>
      </c>
      <c r="H625">
        <f t="shared" si="59"/>
        <v>0</v>
      </c>
      <c r="I625" t="str">
        <f t="shared" si="60"/>
        <v>keep</v>
      </c>
      <c r="J625">
        <f t="shared" si="56"/>
        <v>0</v>
      </c>
      <c r="K625">
        <f t="shared" si="57"/>
        <v>0</v>
      </c>
      <c r="L625">
        <f t="shared" si="61"/>
        <v>0</v>
      </c>
      <c r="M625">
        <f>IF(I625="sell",N624+(N624*E625/100),IF(I625="buy",0,M624))</f>
        <v>2068.4932153728173</v>
      </c>
      <c r="N625">
        <f>IF(I625="buy",M624,IF(I625="sell",0,IF(AND(I625="keep",N624&lt;&gt;0),N624+(N624*E624/100),N624)))</f>
        <v>0</v>
      </c>
      <c r="O625">
        <f>O624+(O624*E625/100)</f>
        <v>2030.6304934995294</v>
      </c>
    </row>
    <row r="626" spans="1:15" x14ac:dyDescent="0.25">
      <c r="A626" s="1">
        <v>46007</v>
      </c>
      <c r="B626">
        <v>-5.1087728718490703E-2</v>
      </c>
      <c r="C626">
        <v>0.26197477069902497</v>
      </c>
      <c r="D626">
        <v>0.18240853187405601</v>
      </c>
      <c r="E626">
        <v>0.414400104099232</v>
      </c>
      <c r="F626" s="3">
        <v>0.13415945736760501</v>
      </c>
      <c r="G626" t="str">
        <f t="shared" si="58"/>
        <v>keep</v>
      </c>
      <c r="H626">
        <f t="shared" si="59"/>
        <v>0</v>
      </c>
      <c r="I626" t="str">
        <f t="shared" si="60"/>
        <v>keep</v>
      </c>
      <c r="J626">
        <f t="shared" si="56"/>
        <v>0</v>
      </c>
      <c r="K626">
        <f t="shared" si="57"/>
        <v>0</v>
      </c>
      <c r="L626">
        <f t="shared" si="61"/>
        <v>0</v>
      </c>
      <c r="M626">
        <f>IF(I626="sell",N625+(N625*E626/100),IF(I626="buy",0,M625))</f>
        <v>2068.4932153728173</v>
      </c>
      <c r="N626">
        <f>IF(I626="buy",M625,IF(I626="sell",0,IF(AND(I626="keep",N625&lt;&gt;0),N625+(N625*E625/100),N625)))</f>
        <v>0</v>
      </c>
      <c r="O626">
        <f>O625+(O625*E626/100)</f>
        <v>2039.0454283784622</v>
      </c>
    </row>
    <row r="627" spans="1:15" x14ac:dyDescent="0.25">
      <c r="A627" s="1">
        <v>46008</v>
      </c>
      <c r="B627">
        <v>0.99895458241374602</v>
      </c>
      <c r="C627">
        <v>-1.9310517937234499</v>
      </c>
      <c r="D627">
        <v>-1.0086993049891</v>
      </c>
      <c r="E627">
        <v>-0.23892399688129001</v>
      </c>
      <c r="F627" s="3">
        <v>-0.19849881803571201</v>
      </c>
      <c r="G627" t="str">
        <f t="shared" si="58"/>
        <v>sell</v>
      </c>
      <c r="H627">
        <f t="shared" si="59"/>
        <v>0</v>
      </c>
      <c r="I627" t="str">
        <f t="shared" si="60"/>
        <v>keep</v>
      </c>
      <c r="J627">
        <f t="shared" si="56"/>
        <v>0</v>
      </c>
      <c r="K627">
        <f t="shared" si="57"/>
        <v>0</v>
      </c>
      <c r="L627">
        <f t="shared" si="61"/>
        <v>0</v>
      </c>
      <c r="M627">
        <f>IF(I627="sell",N626+(N626*E627/100),IF(I627="buy",0,M626))</f>
        <v>2068.4932153728173</v>
      </c>
      <c r="N627">
        <f>IF(I627="buy",M626,IF(I627="sell",0,IF(AND(I627="keep",N626&lt;&gt;0),N626+(N626*E626/100),N626)))</f>
        <v>0</v>
      </c>
      <c r="O627">
        <f>O626+(O626*E627/100)</f>
        <v>2034.1736595427551</v>
      </c>
    </row>
    <row r="628" spans="1:15" x14ac:dyDescent="0.25">
      <c r="A628" s="1">
        <v>46009</v>
      </c>
      <c r="B628">
        <v>-0.184013801035076</v>
      </c>
      <c r="C628">
        <v>1.5082994864486801</v>
      </c>
      <c r="D628">
        <v>0.128754454175528</v>
      </c>
      <c r="E628">
        <v>1.3063323974188601</v>
      </c>
      <c r="F628" s="3">
        <v>0.302631325959619</v>
      </c>
      <c r="G628" t="str">
        <f t="shared" si="58"/>
        <v>buy</v>
      </c>
      <c r="H628">
        <f t="shared" si="59"/>
        <v>0</v>
      </c>
      <c r="I628" t="str">
        <f t="shared" si="60"/>
        <v>buy</v>
      </c>
      <c r="J628">
        <f t="shared" si="56"/>
        <v>1</v>
      </c>
      <c r="K628">
        <f t="shared" si="57"/>
        <v>0</v>
      </c>
      <c r="L628">
        <f t="shared" si="61"/>
        <v>0</v>
      </c>
      <c r="M628">
        <f>IF(I628="sell",N627+(N627*E628/100),IF(I628="buy",0,M627))</f>
        <v>0</v>
      </c>
      <c r="N628">
        <f>IF(I628="buy",M627,IF(I628="sell",0,IF(AND(I628="keep",N627&lt;&gt;0),N627+(N627*E627/100),N627)))</f>
        <v>2068.4932153728173</v>
      </c>
      <c r="O628">
        <f>O627+(O627*E628/100)</f>
        <v>2060.7467290771228</v>
      </c>
    </row>
    <row r="629" spans="1:15" x14ac:dyDescent="0.25">
      <c r="A629" s="1">
        <v>46010</v>
      </c>
      <c r="B629">
        <v>0.50466418582209005</v>
      </c>
      <c r="C629">
        <v>1.3062301652696</v>
      </c>
      <c r="D629">
        <v>0.54374186158683202</v>
      </c>
      <c r="E629">
        <v>-0.96711145507789598</v>
      </c>
      <c r="F629" s="3">
        <v>0.419469224079211</v>
      </c>
      <c r="G629" t="str">
        <f t="shared" si="58"/>
        <v>buy</v>
      </c>
      <c r="H629">
        <f t="shared" si="59"/>
        <v>1</v>
      </c>
      <c r="I629" t="str">
        <f t="shared" si="60"/>
        <v>keep</v>
      </c>
      <c r="J629">
        <f t="shared" si="56"/>
        <v>0</v>
      </c>
      <c r="K629">
        <f t="shared" si="57"/>
        <v>0</v>
      </c>
      <c r="L629">
        <f t="shared" si="61"/>
        <v>0</v>
      </c>
      <c r="M629">
        <f>IF(I629="sell",N628+(N628*E629/100),IF(I629="buy",0,M628))</f>
        <v>0</v>
      </c>
      <c r="N629">
        <f>IF(I629="buy",M628,IF(I629="sell",0,IF(AND(I629="keep",N628&lt;&gt;0),N628+(N628*E628/100),N628)))</f>
        <v>2095.5146123836435</v>
      </c>
      <c r="O629">
        <f>O628+(O628*E629/100)</f>
        <v>2040.817011400075</v>
      </c>
    </row>
    <row r="630" spans="1:15" x14ac:dyDescent="0.25">
      <c r="A630" s="1">
        <v>46013</v>
      </c>
      <c r="B630">
        <v>1.9076488553088</v>
      </c>
      <c r="C630">
        <v>0.45576703343175301</v>
      </c>
      <c r="D630">
        <v>-0.98659410039609796</v>
      </c>
      <c r="E630">
        <v>0.43402113779302798</v>
      </c>
      <c r="F630" s="3">
        <v>0.32167504520360102</v>
      </c>
      <c r="G630" t="str">
        <f t="shared" si="58"/>
        <v>buy</v>
      </c>
      <c r="H630">
        <f t="shared" si="59"/>
        <v>0</v>
      </c>
      <c r="I630" t="str">
        <f t="shared" si="60"/>
        <v>keep</v>
      </c>
      <c r="J630">
        <f t="shared" si="56"/>
        <v>0</v>
      </c>
      <c r="K630">
        <f t="shared" si="57"/>
        <v>0</v>
      </c>
      <c r="L630">
        <f t="shared" si="61"/>
        <v>0</v>
      </c>
      <c r="M630">
        <f>IF(I630="sell",N629+(N629*E630/100),IF(I630="buy",0,M629))</f>
        <v>0</v>
      </c>
      <c r="N630">
        <f>IF(I630="buy",M629,IF(I630="sell",0,IF(AND(I630="keep",N629&lt;&gt;0),N629+(N629*E629/100),N629)))</f>
        <v>2075.2486505244501</v>
      </c>
      <c r="O630">
        <f>O629+(O629*E630/100)</f>
        <v>2049.6745886132271</v>
      </c>
    </row>
    <row r="631" spans="1:15" x14ac:dyDescent="0.25">
      <c r="A631" s="1">
        <v>46014</v>
      </c>
      <c r="B631">
        <v>0.85946330810264804</v>
      </c>
      <c r="C631">
        <v>0.49537486988344698</v>
      </c>
      <c r="D631">
        <v>0.51296605697959097</v>
      </c>
      <c r="E631">
        <v>-0.38893757546143398</v>
      </c>
      <c r="F631" s="3">
        <v>0.34380628520488898</v>
      </c>
      <c r="G631" t="str">
        <f t="shared" si="58"/>
        <v>buy</v>
      </c>
      <c r="H631">
        <f t="shared" si="59"/>
        <v>1</v>
      </c>
      <c r="I631" t="str">
        <f t="shared" si="60"/>
        <v>keep</v>
      </c>
      <c r="J631">
        <f t="shared" si="56"/>
        <v>0</v>
      </c>
      <c r="K631">
        <f t="shared" si="57"/>
        <v>0</v>
      </c>
      <c r="L631">
        <f t="shared" si="61"/>
        <v>0</v>
      </c>
      <c r="M631">
        <f>IF(I631="sell",N630+(N630*E631/100),IF(I631="buy",0,M630))</f>
        <v>0</v>
      </c>
      <c r="N631">
        <f>IF(I631="buy",M630,IF(I631="sell",0,IF(AND(I631="keep",N630&lt;&gt;0),N630+(N630*E630/100),N630)))</f>
        <v>2084.2556683294906</v>
      </c>
      <c r="O631">
        <f>O630+(O630*E631/100)</f>
        <v>2041.7026339634258</v>
      </c>
    </row>
    <row r="632" spans="1:15" x14ac:dyDescent="0.25">
      <c r="A632" s="1">
        <v>46015</v>
      </c>
      <c r="B632">
        <v>-4.9069936804890801E-2</v>
      </c>
      <c r="C632">
        <v>0.26700315068297598</v>
      </c>
      <c r="D632">
        <v>0.53238812050879702</v>
      </c>
      <c r="E632">
        <v>0.108466493303427</v>
      </c>
      <c r="F632" s="3">
        <v>0.17437496113839199</v>
      </c>
      <c r="G632" t="str">
        <f t="shared" si="58"/>
        <v>buy</v>
      </c>
      <c r="H632">
        <f t="shared" si="59"/>
        <v>1</v>
      </c>
      <c r="I632" t="str">
        <f t="shared" si="60"/>
        <v>keep</v>
      </c>
      <c r="J632">
        <f t="shared" si="56"/>
        <v>0</v>
      </c>
      <c r="K632">
        <f t="shared" si="57"/>
        <v>0</v>
      </c>
      <c r="L632">
        <f t="shared" si="61"/>
        <v>0</v>
      </c>
      <c r="M632">
        <f>IF(I632="sell",N631+(N631*E632/100),IF(I632="buy",0,M631))</f>
        <v>0</v>
      </c>
      <c r="N632">
        <f>IF(I632="buy",M631,IF(I632="sell",0,IF(AND(I632="keep",N631&lt;&gt;0),N631+(N631*E631/100),N631)))</f>
        <v>2076.1492148666725</v>
      </c>
      <c r="O632">
        <f>O631+(O631*E632/100)</f>
        <v>2043.9171972141696</v>
      </c>
    </row>
    <row r="633" spans="1:15" x14ac:dyDescent="0.25">
      <c r="A633" s="1">
        <v>46021</v>
      </c>
      <c r="B633">
        <v>1.04043834787512</v>
      </c>
      <c r="C633">
        <v>-0.24681142607743101</v>
      </c>
      <c r="D633">
        <v>-0.24840121606569601</v>
      </c>
      <c r="E633">
        <v>0.77702737195446403</v>
      </c>
      <c r="F633" s="3">
        <v>0.16746822498128799</v>
      </c>
      <c r="G633" t="str">
        <f t="shared" si="58"/>
        <v>buy</v>
      </c>
      <c r="H633">
        <f t="shared" si="59"/>
        <v>0</v>
      </c>
      <c r="I633" t="str">
        <f t="shared" si="60"/>
        <v>keep</v>
      </c>
      <c r="J633">
        <f t="shared" si="56"/>
        <v>0</v>
      </c>
      <c r="K633">
        <f t="shared" si="57"/>
        <v>0</v>
      </c>
      <c r="L633">
        <f t="shared" si="61"/>
        <v>0</v>
      </c>
      <c r="M633">
        <f>IF(I633="sell",N632+(N632*E633/100),IF(I633="buy",0,M632))</f>
        <v>0</v>
      </c>
      <c r="N633">
        <f>IF(I633="buy",M632,IF(I633="sell",0,IF(AND(I633="keep",N632&lt;&gt;0),N632+(N632*E632/100),N632)))</f>
        <v>2078.4011411157849</v>
      </c>
      <c r="O633">
        <f>O632+(O632*E633/100)</f>
        <v>2059.7989932966084</v>
      </c>
    </row>
    <row r="634" spans="1:15" x14ac:dyDescent="0.25">
      <c r="A634" s="1">
        <v>46022</v>
      </c>
      <c r="B634">
        <v>-1.0182833117224399</v>
      </c>
      <c r="C634">
        <v>-0.83538706607456603</v>
      </c>
      <c r="D634">
        <v>-0.446755998495795</v>
      </c>
      <c r="E634">
        <v>-0.66394852797535497</v>
      </c>
      <c r="F634" s="3">
        <v>-0.25497505512534901</v>
      </c>
      <c r="G634" t="str">
        <f t="shared" si="58"/>
        <v>sell</v>
      </c>
      <c r="H634">
        <f t="shared" si="59"/>
        <v>1</v>
      </c>
      <c r="I634" t="str">
        <f t="shared" si="60"/>
        <v>sell</v>
      </c>
      <c r="J634">
        <f t="shared" si="56"/>
        <v>0</v>
      </c>
      <c r="K634">
        <f t="shared" si="57"/>
        <v>1</v>
      </c>
      <c r="L634">
        <f t="shared" si="61"/>
        <v>1</v>
      </c>
      <c r="M634">
        <f>IF(I634="sell",N633+(N633*E634/100),IF(I634="buy",0,M633))</f>
        <v>2064.6016273339237</v>
      </c>
      <c r="N634">
        <f>IF(I634="buy",M633,IF(I634="sell",0,IF(AND(I634="keep",N633&lt;&gt;0),N633+(N633*E633/100),N633)))</f>
        <v>0</v>
      </c>
      <c r="O634">
        <f>O633+(O633*E634/100)</f>
        <v>2046.1229882013645</v>
      </c>
    </row>
    <row r="635" spans="1:15" x14ac:dyDescent="0.25">
      <c r="A635" s="1">
        <v>46024</v>
      </c>
      <c r="B635">
        <v>-0.258928126956736</v>
      </c>
      <c r="C635">
        <v>-0.17298989172506099</v>
      </c>
      <c r="D635">
        <v>-0.31265196488491298</v>
      </c>
      <c r="E635">
        <v>-0.25873812811213398</v>
      </c>
      <c r="F635" s="3">
        <v>-2.5245357831831901E-2</v>
      </c>
      <c r="G635" t="str">
        <f t="shared" si="58"/>
        <v>keep</v>
      </c>
      <c r="H635">
        <f t="shared" si="59"/>
        <v>0</v>
      </c>
      <c r="I635" t="str">
        <f t="shared" si="60"/>
        <v>keep</v>
      </c>
      <c r="J635">
        <f t="shared" si="56"/>
        <v>0</v>
      </c>
      <c r="K635">
        <f t="shared" si="57"/>
        <v>0</v>
      </c>
      <c r="L635">
        <f t="shared" si="61"/>
        <v>0</v>
      </c>
      <c r="M635">
        <f>IF(I635="sell",N634+(N634*E635/100),IF(I635="buy",0,M634))</f>
        <v>2064.6016273339237</v>
      </c>
      <c r="N635">
        <f>IF(I635="buy",M634,IF(I635="sell",0,IF(AND(I635="keep",N634&lt;&gt;0),N634+(N634*E634/100),N634)))</f>
        <v>0</v>
      </c>
      <c r="O635">
        <f>O634+(O634*E635/100)</f>
        <v>2040.8288878828203</v>
      </c>
    </row>
    <row r="636" spans="1:15" x14ac:dyDescent="0.25">
      <c r="A636" s="1">
        <v>46027</v>
      </c>
      <c r="B636">
        <v>2.8393288237711301</v>
      </c>
      <c r="C636">
        <v>0.77421675419095903</v>
      </c>
      <c r="D636">
        <v>-1.3837127282652999</v>
      </c>
      <c r="E636">
        <v>0.73497657787338</v>
      </c>
      <c r="F636" s="3">
        <v>0.45164220227088703</v>
      </c>
      <c r="G636" t="str">
        <f t="shared" si="58"/>
        <v>buy</v>
      </c>
      <c r="H636">
        <f t="shared" si="59"/>
        <v>0</v>
      </c>
      <c r="I636" t="str">
        <f t="shared" si="60"/>
        <v>buy</v>
      </c>
      <c r="J636">
        <f t="shared" si="56"/>
        <v>1</v>
      </c>
      <c r="K636">
        <f t="shared" si="57"/>
        <v>0</v>
      </c>
      <c r="L636">
        <f t="shared" si="61"/>
        <v>0</v>
      </c>
      <c r="M636">
        <f>IF(I636="sell",N635+(N635*E636/100),IF(I636="buy",0,M635))</f>
        <v>0</v>
      </c>
      <c r="N636">
        <f>IF(I636="buy",M635,IF(I636="sell",0,IF(AND(I636="keep",N635&lt;&gt;0),N635+(N635*E635/100),N635)))</f>
        <v>2064.6016273339237</v>
      </c>
      <c r="O636">
        <f>O635+(O635*E636/100)</f>
        <v>2055.8285022032328</v>
      </c>
    </row>
    <row r="637" spans="1:15" x14ac:dyDescent="0.25">
      <c r="A637" s="1">
        <v>46028</v>
      </c>
      <c r="B637">
        <v>1.02098974432172</v>
      </c>
      <c r="C637">
        <v>0.938496983885861</v>
      </c>
      <c r="D637">
        <v>-1.8334297070330801</v>
      </c>
      <c r="E637">
        <v>-0.472097453239261</v>
      </c>
      <c r="F637" s="3">
        <v>0.141944779341379</v>
      </c>
      <c r="G637" t="str">
        <f t="shared" si="58"/>
        <v>keep</v>
      </c>
      <c r="H637">
        <f t="shared" si="59"/>
        <v>1</v>
      </c>
      <c r="I637" t="str">
        <f t="shared" si="60"/>
        <v>keep</v>
      </c>
      <c r="J637">
        <f t="shared" si="56"/>
        <v>0</v>
      </c>
      <c r="K637">
        <f t="shared" si="57"/>
        <v>0</v>
      </c>
      <c r="L637">
        <f t="shared" si="61"/>
        <v>0</v>
      </c>
      <c r="M637">
        <f>IF(I637="sell",N636+(N636*E637/100),IF(I637="buy",0,M636))</f>
        <v>0</v>
      </c>
      <c r="N637">
        <f>IF(I637="buy",M636,IF(I637="sell",0,IF(AND(I637="keep",N636&lt;&gt;0),N636+(N636*E636/100),N636)))</f>
        <v>2079.7759657212209</v>
      </c>
      <c r="O637">
        <f>O636+(O636*E637/100)</f>
        <v>2046.1229882013645</v>
      </c>
    </row>
    <row r="638" spans="1:15" x14ac:dyDescent="0.25">
      <c r="A638" s="1">
        <v>46029</v>
      </c>
      <c r="B638">
        <v>-0.73402322947125898</v>
      </c>
      <c r="C638">
        <v>5.5341704746947301E-2</v>
      </c>
      <c r="D638">
        <v>-0.77374557578841996</v>
      </c>
      <c r="E638">
        <v>2.1129786969971498</v>
      </c>
      <c r="F638" s="3">
        <v>-0.109554792687122</v>
      </c>
      <c r="G638" t="str">
        <f t="shared" si="58"/>
        <v>keep</v>
      </c>
      <c r="H638">
        <f t="shared" si="59"/>
        <v>0</v>
      </c>
      <c r="I638" t="str">
        <f t="shared" si="60"/>
        <v>keep</v>
      </c>
      <c r="J638">
        <f t="shared" si="56"/>
        <v>0</v>
      </c>
      <c r="K638">
        <f t="shared" si="57"/>
        <v>0</v>
      </c>
      <c r="L638">
        <f t="shared" si="61"/>
        <v>0</v>
      </c>
      <c r="M638">
        <f>IF(I638="sell",N637+(N637*E638/100),IF(I638="buy",0,M637))</f>
        <v>0</v>
      </c>
      <c r="N638">
        <f>IF(I638="buy",M637,IF(I638="sell",0,IF(AND(I638="keep",N637&lt;&gt;0),N637+(N637*E637/100),N637)))</f>
        <v>2069.9573963539688</v>
      </c>
      <c r="O638">
        <f>O637+(O637*E638/100)</f>
        <v>2089.3571310564207</v>
      </c>
    </row>
    <row r="639" spans="1:15" x14ac:dyDescent="0.25">
      <c r="A639" s="1">
        <v>46030</v>
      </c>
      <c r="B639">
        <v>8.9989580962511993E-3</v>
      </c>
      <c r="C639">
        <v>-0.57223571860303102</v>
      </c>
      <c r="D639">
        <v>-0.49551649593991798</v>
      </c>
      <c r="E639">
        <v>0.44341022332410301</v>
      </c>
      <c r="F639" s="3">
        <v>-6.4471236748855507E-2</v>
      </c>
      <c r="G639" t="str">
        <f t="shared" si="58"/>
        <v>keep</v>
      </c>
      <c r="H639">
        <f t="shared" si="59"/>
        <v>1</v>
      </c>
      <c r="I639" t="str">
        <f t="shared" si="60"/>
        <v>keep</v>
      </c>
      <c r="J639">
        <f t="shared" si="56"/>
        <v>0</v>
      </c>
      <c r="K639">
        <f t="shared" si="57"/>
        <v>0</v>
      </c>
      <c r="L639">
        <f t="shared" si="61"/>
        <v>0</v>
      </c>
      <c r="M639">
        <f>IF(I639="sell",N638+(N638*E639/100),IF(I639="buy",0,M638))</f>
        <v>0</v>
      </c>
      <c r="N639">
        <f>IF(I639="buy",M638,IF(I639="sell",0,IF(AND(I639="keep",N638&lt;&gt;0),N638+(N638*E638/100),N638)))</f>
        <v>2113.6951551758448</v>
      </c>
      <c r="O639">
        <f>O638+(O638*E639/100)</f>
        <v>2098.6215541772763</v>
      </c>
    </row>
    <row r="640" spans="1:15" x14ac:dyDescent="0.25">
      <c r="A640" s="1">
        <v>46031</v>
      </c>
      <c r="B640">
        <v>0.91241224336349103</v>
      </c>
      <c r="C640">
        <v>1.0160314587658701</v>
      </c>
      <c r="D640">
        <v>0.127388264893602</v>
      </c>
      <c r="E640">
        <v>-0.94597596347769597</v>
      </c>
      <c r="F640" s="3">
        <v>0.38754315972534897</v>
      </c>
      <c r="G640" t="str">
        <f t="shared" si="58"/>
        <v>buy</v>
      </c>
      <c r="H640">
        <f t="shared" si="59"/>
        <v>0</v>
      </c>
      <c r="I640" t="str">
        <f t="shared" si="60"/>
        <v>keep</v>
      </c>
      <c r="J640">
        <f t="shared" ref="J640:J649" si="62">IF(I640="buy",1,0)</f>
        <v>0</v>
      </c>
      <c r="K640">
        <f t="shared" ref="K640:K649" si="63">IF(I640="sell",1,0)</f>
        <v>0</v>
      </c>
      <c r="L640">
        <f t="shared" si="61"/>
        <v>0</v>
      </c>
      <c r="M640">
        <f>IF(I640="sell",N639+(N639*E640/100),IF(I640="buy",0,M639))</f>
        <v>0</v>
      </c>
      <c r="N640">
        <f>IF(I640="buy",M639,IF(I640="sell",0,IF(AND(I640="keep",N639&lt;&gt;0),N639+(N639*E639/100),N639)))</f>
        <v>2123.0674955838008</v>
      </c>
      <c r="O640">
        <f>O639+(O639*E640/100)</f>
        <v>2078.769098710397</v>
      </c>
    </row>
    <row r="641" spans="1:15" x14ac:dyDescent="0.25">
      <c r="A641" s="1">
        <v>46034</v>
      </c>
      <c r="B641">
        <v>2.5388059808610901</v>
      </c>
      <c r="C641">
        <v>8.3055867710957104E-2</v>
      </c>
      <c r="D641">
        <v>0.339285537795119</v>
      </c>
      <c r="E641">
        <v>-0.40322290113724502</v>
      </c>
      <c r="F641" s="3">
        <v>0.50136842761248401</v>
      </c>
      <c r="G641" t="str">
        <f t="shared" si="58"/>
        <v>buy</v>
      </c>
      <c r="H641">
        <f t="shared" si="59"/>
        <v>0</v>
      </c>
      <c r="I641" t="str">
        <f t="shared" si="60"/>
        <v>keep</v>
      </c>
      <c r="J641">
        <f t="shared" si="62"/>
        <v>0</v>
      </c>
      <c r="K641">
        <f t="shared" si="63"/>
        <v>0</v>
      </c>
      <c r="L641">
        <f t="shared" si="61"/>
        <v>0</v>
      </c>
      <c r="M641">
        <f>IF(I641="sell",N640+(N640*E641/100),IF(I641="buy",0,M640))</f>
        <v>0</v>
      </c>
      <c r="N641">
        <f>IF(I641="buy",M640,IF(I641="sell",0,IF(AND(I641="keep",N640&lt;&gt;0),N640+(N640*E640/100),N640)))</f>
        <v>2102.9837873871702</v>
      </c>
      <c r="O641">
        <f>O640+(O640*E641/100)</f>
        <v>2070.3870256426321</v>
      </c>
    </row>
    <row r="642" spans="1:15" x14ac:dyDescent="0.25">
      <c r="A642" s="1">
        <v>46035</v>
      </c>
      <c r="B642">
        <v>-0.32794583357990098</v>
      </c>
      <c r="C642">
        <v>-0.177258957280468</v>
      </c>
      <c r="D642">
        <v>0.30739204340777199</v>
      </c>
      <c r="E642">
        <v>-1.55550721817451</v>
      </c>
      <c r="F642" s="3">
        <v>3.8548884080405001E-2</v>
      </c>
      <c r="G642" t="str">
        <f t="shared" si="58"/>
        <v>keep</v>
      </c>
      <c r="H642">
        <f t="shared" si="59"/>
        <v>0</v>
      </c>
      <c r="I642" t="str">
        <f t="shared" si="60"/>
        <v>keep</v>
      </c>
      <c r="J642">
        <f t="shared" si="62"/>
        <v>0</v>
      </c>
      <c r="K642">
        <f t="shared" si="63"/>
        <v>0</v>
      </c>
      <c r="L642">
        <f t="shared" si="61"/>
        <v>0</v>
      </c>
      <c r="M642">
        <f>IF(I642="sell",N641+(N641*E642/100),IF(I642="buy",0,M641))</f>
        <v>0</v>
      </c>
      <c r="N642">
        <f>IF(I642="buy",M641,IF(I642="sell",0,IF(AND(I642="keep",N641&lt;&gt;0),N641+(N641*E641/100),N641)))</f>
        <v>2094.5040751492215</v>
      </c>
      <c r="O642">
        <f>O641+(O641*E642/100)</f>
        <v>2038.1820060146124</v>
      </c>
    </row>
    <row r="643" spans="1:15" x14ac:dyDescent="0.25">
      <c r="A643" s="1">
        <v>46036</v>
      </c>
      <c r="B643">
        <v>0.80841122191388504</v>
      </c>
      <c r="C643">
        <v>-1.07221781567325</v>
      </c>
      <c r="D643">
        <v>-0.41754314838545697</v>
      </c>
      <c r="E643">
        <v>-0.43290207713565498</v>
      </c>
      <c r="F643" s="3">
        <v>-2.9022470116967299E-2</v>
      </c>
      <c r="G643" t="str">
        <f t="shared" ref="G643:G649" si="64">IF(F643&gt;$R$2,"buy",IF(F643&lt;-$R$3,"sell","keep"))</f>
        <v>keep</v>
      </c>
      <c r="H643">
        <f t="shared" ref="H643:H649" si="65">IF(F643&lt;&gt;"",IF(OR(AND(F643&lt;0,E644&lt;0),AND(F643&gt;0,E644&gt;0)),1,0),"")</f>
        <v>0</v>
      </c>
      <c r="I643" t="str">
        <f t="shared" ref="I643:I649" si="66">IF(AND(G643="sell",N642&lt;&gt;0),"sell",IF(AND(G643="buy",M642&lt;&gt;0),"buy","keep"))</f>
        <v>keep</v>
      </c>
      <c r="J643">
        <f t="shared" si="62"/>
        <v>0</v>
      </c>
      <c r="K643">
        <f t="shared" si="63"/>
        <v>0</v>
      </c>
      <c r="L643">
        <f t="shared" ref="L643:L649" si="67">IF(AND(H643=1,OR(J643=1,K643=1)),1,0)</f>
        <v>0</v>
      </c>
      <c r="M643">
        <f>IF(I643="sell",N642+(N642*E643/100),IF(I643="buy",0,M642))</f>
        <v>0</v>
      </c>
      <c r="N643">
        <f>IF(I643="buy",M642,IF(I643="sell",0,IF(AND(I643="keep",N642&lt;&gt;0),N642+(N642*E642/100),N642)))</f>
        <v>2061.9239130753162</v>
      </c>
      <c r="O643">
        <f>O642+(O642*E643/100)</f>
        <v>2029.3586737747701</v>
      </c>
    </row>
    <row r="644" spans="1:15" x14ac:dyDescent="0.25">
      <c r="A644" s="1">
        <v>46037</v>
      </c>
      <c r="B644">
        <v>-0.21615546813174</v>
      </c>
      <c r="C644">
        <v>0.31858577031622598</v>
      </c>
      <c r="D644">
        <v>-0.67318051143359003</v>
      </c>
      <c r="E644">
        <v>0.28261101764182001</v>
      </c>
      <c r="F644" s="3">
        <v>1.7651930856656901E-2</v>
      </c>
      <c r="G644" t="str">
        <f t="shared" si="64"/>
        <v>keep</v>
      </c>
      <c r="H644">
        <f t="shared" si="65"/>
        <v>0</v>
      </c>
      <c r="I644" t="str">
        <f t="shared" si="66"/>
        <v>keep</v>
      </c>
      <c r="J644">
        <f t="shared" si="62"/>
        <v>0</v>
      </c>
      <c r="K644">
        <f t="shared" si="63"/>
        <v>0</v>
      </c>
      <c r="L644">
        <f t="shared" si="67"/>
        <v>0</v>
      </c>
      <c r="M644">
        <f>IF(I644="sell",N643+(N643*E644/100),IF(I644="buy",0,M643))</f>
        <v>0</v>
      </c>
      <c r="N644">
        <f>IF(I644="buy",M643,IF(I644="sell",0,IF(AND(I644="keep",N643&lt;&gt;0),N643+(N643*E643/100),N643)))</f>
        <v>2052.9978016266564</v>
      </c>
      <c r="O644">
        <f>O643+(O643*E644/100)</f>
        <v>2035.0938649743275</v>
      </c>
    </row>
    <row r="645" spans="1:15" x14ac:dyDescent="0.25">
      <c r="A645" s="1">
        <v>46038</v>
      </c>
      <c r="B645">
        <v>-0.60437804137893902</v>
      </c>
      <c r="C645">
        <v>-6.9716592380797401E-2</v>
      </c>
      <c r="D645">
        <v>-1.0379120733008</v>
      </c>
      <c r="E645">
        <v>-0.75873028552838595</v>
      </c>
      <c r="F645" s="3">
        <v>-0.14167596698669799</v>
      </c>
      <c r="G645" t="str">
        <f t="shared" si="64"/>
        <v>keep</v>
      </c>
      <c r="H645">
        <f t="shared" si="65"/>
        <v>1</v>
      </c>
      <c r="I645" t="str">
        <f t="shared" si="66"/>
        <v>keep</v>
      </c>
      <c r="J645">
        <f t="shared" si="62"/>
        <v>0</v>
      </c>
      <c r="K645">
        <f t="shared" si="63"/>
        <v>0</v>
      </c>
      <c r="L645">
        <f t="shared" si="67"/>
        <v>0</v>
      </c>
      <c r="M645">
        <f>IF(I645="sell",N644+(N644*E645/100),IF(I645="buy",0,M644))</f>
        <v>0</v>
      </c>
      <c r="N645">
        <f>IF(I645="buy",M644,IF(I645="sell",0,IF(AND(I645="keep",N644&lt;&gt;0),N644+(N644*E644/100),N644)))</f>
        <v>2058.7997996059976</v>
      </c>
      <c r="O645">
        <f>O644+(O644*E645/100)</f>
        <v>2019.652991481837</v>
      </c>
    </row>
    <row r="646" spans="1:15" x14ac:dyDescent="0.25">
      <c r="A646" s="1">
        <v>46043</v>
      </c>
      <c r="B646">
        <v>1.5169280097040601</v>
      </c>
      <c r="C646">
        <v>1.35671360354476</v>
      </c>
      <c r="D646">
        <v>0.38508186461043697</v>
      </c>
      <c r="E646">
        <v>-0.93209491975633196</v>
      </c>
      <c r="F646" s="3">
        <v>0.54190111486936499</v>
      </c>
      <c r="G646" t="str">
        <f t="shared" si="64"/>
        <v>buy</v>
      </c>
      <c r="H646">
        <f t="shared" si="65"/>
        <v>1</v>
      </c>
      <c r="I646" t="str">
        <f t="shared" si="66"/>
        <v>keep</v>
      </c>
      <c r="J646">
        <f t="shared" si="62"/>
        <v>0</v>
      </c>
      <c r="K646">
        <f t="shared" si="63"/>
        <v>0</v>
      </c>
      <c r="L646">
        <f t="shared" si="67"/>
        <v>0</v>
      </c>
      <c r="M646">
        <f>IF(I646="sell",N645+(N645*E646/100),IF(I646="buy",0,M645))</f>
        <v>0</v>
      </c>
      <c r="N646">
        <f>IF(I646="buy",M645,IF(I646="sell",0,IF(AND(I646="keep",N645&lt;&gt;0),N645+(N645*E645/100),N645)))</f>
        <v>2043.1790620079892</v>
      </c>
      <c r="O646">
        <f>O645+(O645*E646/100)</f>
        <v>2000.827908551528</v>
      </c>
    </row>
    <row r="647" spans="1:15" x14ac:dyDescent="0.25">
      <c r="A647" s="1">
        <v>46044</v>
      </c>
      <c r="B647">
        <v>1.59360907141268</v>
      </c>
      <c r="C647">
        <v>0.75718683951186905</v>
      </c>
      <c r="D647">
        <v>0.282661911683246</v>
      </c>
      <c r="E647">
        <v>2.0609363714639999</v>
      </c>
      <c r="F647" s="3">
        <v>0.45585302317161303</v>
      </c>
      <c r="G647" t="str">
        <f t="shared" si="64"/>
        <v>buy</v>
      </c>
      <c r="H647">
        <f t="shared" si="65"/>
        <v>0</v>
      </c>
      <c r="I647" t="str">
        <f t="shared" si="66"/>
        <v>keep</v>
      </c>
      <c r="J647">
        <f t="shared" si="62"/>
        <v>0</v>
      </c>
      <c r="K647">
        <f t="shared" si="63"/>
        <v>0</v>
      </c>
      <c r="L647">
        <f t="shared" si="67"/>
        <v>0</v>
      </c>
      <c r="M647">
        <f>IF(I647="sell",N646+(N646*E647/100),IF(I647="buy",0,M646))</f>
        <v>0</v>
      </c>
      <c r="N647">
        <f>IF(I647="buy",M646,IF(I647="sell",0,IF(AND(I647="keep",N646&lt;&gt;0),N646+(N646*E646/100),N646)))</f>
        <v>2024.1346937694875</v>
      </c>
      <c r="O647">
        <f>O646+(O646*E647/100)</f>
        <v>2042.0636986492689</v>
      </c>
    </row>
    <row r="648" spans="1:15" x14ac:dyDescent="0.25">
      <c r="A648" s="1">
        <v>46045</v>
      </c>
      <c r="B648">
        <v>1.37305234083162</v>
      </c>
      <c r="C648">
        <v>0.34140567506761799</v>
      </c>
      <c r="D648">
        <v>-0.12482899527435</v>
      </c>
      <c r="E648">
        <v>-0.175596638813069</v>
      </c>
      <c r="F648" s="3">
        <v>0.30850722756106802</v>
      </c>
      <c r="G648" t="str">
        <f t="shared" si="64"/>
        <v>buy</v>
      </c>
      <c r="H648">
        <f t="shared" si="65"/>
        <v>1</v>
      </c>
      <c r="I648" t="str">
        <f t="shared" si="66"/>
        <v>keep</v>
      </c>
      <c r="J648">
        <f t="shared" si="62"/>
        <v>0</v>
      </c>
      <c r="K648">
        <f t="shared" si="63"/>
        <v>0</v>
      </c>
      <c r="L648">
        <f t="shared" si="67"/>
        <v>0</v>
      </c>
      <c r="M648">
        <f>IF(I648="sell",N647+(N647*E648/100),IF(I648="buy",0,M647))</f>
        <v>0</v>
      </c>
      <c r="N648">
        <f>IF(I648="buy",M647,IF(I648="sell",0,IF(AND(I648="keep",N647&lt;&gt;0),N647+(N647*E647/100),N647)))</f>
        <v>2065.8508218808042</v>
      </c>
      <c r="O648">
        <f>O647+(O647*E648/100)</f>
        <v>2038.4779034320188</v>
      </c>
    </row>
    <row r="649" spans="1:15" x14ac:dyDescent="0.25">
      <c r="A649" s="1">
        <v>46048</v>
      </c>
      <c r="B649">
        <v>2.0799002439149299</v>
      </c>
      <c r="C649">
        <v>0.42077037217618202</v>
      </c>
      <c r="D649">
        <v>2.9712992160399998</v>
      </c>
      <c r="E649">
        <v>0.94547121702683801</v>
      </c>
      <c r="G649" t="str">
        <f t="shared" si="64"/>
        <v>keep</v>
      </c>
      <c r="H649" t="str">
        <f t="shared" si="65"/>
        <v/>
      </c>
      <c r="I649" t="str">
        <f t="shared" si="66"/>
        <v>keep</v>
      </c>
      <c r="J649">
        <f t="shared" si="62"/>
        <v>0</v>
      </c>
      <c r="K649">
        <f t="shared" si="63"/>
        <v>0</v>
      </c>
      <c r="L649">
        <f t="shared" si="67"/>
        <v>0</v>
      </c>
      <c r="M649">
        <f>IF(I649="sell",N648+(N648*E649/100),IF(I649="buy",0,M648))</f>
        <v>0</v>
      </c>
      <c r="N649">
        <f>IF(I649="buy",M648,IF(I649="sell",0,IF(AND(I649="keep",N648&lt;&gt;0),N648+(N648*E648/100),N648)))</f>
        <v>2062.2232572746893</v>
      </c>
      <c r="O649">
        <f>O648+(O648*E649/100)</f>
        <v>2057.7511252744207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CS_PREDICTION_DATASET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Caillol</cp:lastModifiedBy>
  <dcterms:created xsi:type="dcterms:W3CDTF">2026-01-19T09:29:25Z</dcterms:created>
  <dcterms:modified xsi:type="dcterms:W3CDTF">2026-01-27T07:39:19Z</dcterms:modified>
</cp:coreProperties>
</file>